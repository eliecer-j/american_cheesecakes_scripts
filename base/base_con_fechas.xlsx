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LIECER\scripts\base\"/>
    </mc:Choice>
  </mc:AlternateContent>
  <xr:revisionPtr revIDLastSave="0" documentId="13_ncr:1_{A32749FC-A7CF-4B6A-80ED-B28AF572436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22 SEPTIEMBRE 2026" sheetId="4" r:id="rId1"/>
    <sheet name="23 SEPTIEMBRE 2026" sheetId="6" r:id="rId2"/>
    <sheet name="base_0" sheetId="2" r:id="rId3"/>
  </sheets>
  <definedNames>
    <definedName name="_xlnm.Print_Area" localSheetId="0">'22 SEPTIEMBRE 2026'!$B$1:$AP$192</definedName>
    <definedName name="_xlnm.Print_Area" localSheetId="1">'23 SEPTIEMBRE 2026'!$B$1:$AN$193</definedName>
    <definedName name="_xlnm.Print_Area" localSheetId="2">base_0!$B$1:$AN$193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72" i="6" l="1"/>
  <c r="AD164" i="4"/>
  <c r="Y193" i="6" l="1"/>
  <c r="AD191" i="6"/>
  <c r="Y191" i="6"/>
  <c r="AD189" i="6"/>
  <c r="Y189" i="6"/>
  <c r="AD187" i="6"/>
  <c r="Y187" i="6"/>
  <c r="AD186" i="6"/>
  <c r="Y186" i="6"/>
  <c r="AD185" i="6"/>
  <c r="Y185" i="6"/>
  <c r="AD184" i="6"/>
  <c r="Y184" i="6"/>
  <c r="AD183" i="6"/>
  <c r="Y183" i="6"/>
  <c r="AD182" i="6"/>
  <c r="Y182" i="6"/>
  <c r="AD181" i="6"/>
  <c r="Y181" i="6"/>
  <c r="AD180" i="6"/>
  <c r="Y180" i="6"/>
  <c r="AD179" i="6"/>
  <c r="Y179" i="6"/>
  <c r="AD178" i="6"/>
  <c r="Y178" i="6"/>
  <c r="AD177" i="6"/>
  <c r="Y177" i="6"/>
  <c r="AD176" i="6"/>
  <c r="Y176" i="6"/>
  <c r="AD175" i="6"/>
  <c r="Y175" i="6"/>
  <c r="AD174" i="6"/>
  <c r="Y174" i="6"/>
  <c r="AD173" i="6"/>
  <c r="Y173" i="6"/>
  <c r="W172" i="6"/>
  <c r="U172" i="6"/>
  <c r="S172" i="6"/>
  <c r="Q172" i="6"/>
  <c r="O172" i="6"/>
  <c r="M172" i="6"/>
  <c r="K172" i="6"/>
  <c r="I172" i="6"/>
  <c r="G172" i="6"/>
  <c r="E172" i="6"/>
  <c r="C172" i="6"/>
  <c r="AD171" i="6"/>
  <c r="Y171" i="6"/>
  <c r="AD170" i="6"/>
  <c r="Y170" i="6"/>
  <c r="AD169" i="6"/>
  <c r="Y169" i="6"/>
  <c r="AD168" i="6"/>
  <c r="Y168" i="6"/>
  <c r="AD167" i="6"/>
  <c r="Y167" i="6"/>
  <c r="AD166" i="6"/>
  <c r="Y166" i="6"/>
  <c r="AD165" i="6"/>
  <c r="Y165" i="6"/>
  <c r="AD164" i="6"/>
  <c r="Y164" i="6"/>
  <c r="AD162" i="6"/>
  <c r="Z162" i="6"/>
  <c r="Y162" i="6"/>
  <c r="AD161" i="6"/>
  <c r="Z161" i="6"/>
  <c r="Y161" i="6"/>
  <c r="AD160" i="6"/>
  <c r="Z160" i="6"/>
  <c r="Y160" i="6"/>
  <c r="AD159" i="6"/>
  <c r="Z159" i="6"/>
  <c r="Y159" i="6"/>
  <c r="AD158" i="6"/>
  <c r="Z158" i="6"/>
  <c r="Y158" i="6"/>
  <c r="AD157" i="6"/>
  <c r="Z157" i="6"/>
  <c r="Y157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AD152" i="6"/>
  <c r="Z152" i="6"/>
  <c r="Y152" i="6"/>
  <c r="AD151" i="6"/>
  <c r="Z151" i="6"/>
  <c r="Y151" i="6"/>
  <c r="AD150" i="6"/>
  <c r="Z150" i="6"/>
  <c r="Y150" i="6"/>
  <c r="AD149" i="6"/>
  <c r="Z149" i="6"/>
  <c r="Y149" i="6"/>
  <c r="AD148" i="6"/>
  <c r="Z148" i="6"/>
  <c r="Y148" i="6"/>
  <c r="AD147" i="6"/>
  <c r="Z147" i="6"/>
  <c r="Y147" i="6"/>
  <c r="AD146" i="6"/>
  <c r="Z146" i="6"/>
  <c r="Y146" i="6"/>
  <c r="AD145" i="6"/>
  <c r="Z145" i="6"/>
  <c r="Y145" i="6"/>
  <c r="AD144" i="6"/>
  <c r="Z144" i="6"/>
  <c r="Y144" i="6"/>
  <c r="AD143" i="6"/>
  <c r="Z143" i="6"/>
  <c r="Y143" i="6"/>
  <c r="AD142" i="6"/>
  <c r="Z142" i="6"/>
  <c r="Y142" i="6"/>
  <c r="AD140" i="6"/>
  <c r="Z140" i="6"/>
  <c r="Y140" i="6"/>
  <c r="AD139" i="6"/>
  <c r="Z139" i="6"/>
  <c r="Y139" i="6"/>
  <c r="AD137" i="6"/>
  <c r="AF137" i="6" s="1"/>
  <c r="Z137" i="6"/>
  <c r="Y137" i="6"/>
  <c r="AD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AD135" i="6"/>
  <c r="Z135" i="6"/>
  <c r="Y135" i="6"/>
  <c r="AD134" i="6"/>
  <c r="Z134" i="6"/>
  <c r="Y134" i="6"/>
  <c r="AD133" i="6"/>
  <c r="Z133" i="6"/>
  <c r="Y133" i="6"/>
  <c r="AD132" i="6"/>
  <c r="Z132" i="6"/>
  <c r="Y132" i="6"/>
  <c r="AD131" i="6"/>
  <c r="Z131" i="6"/>
  <c r="Y131" i="6"/>
  <c r="AD130" i="6"/>
  <c r="Z130" i="6"/>
  <c r="Y130" i="6"/>
  <c r="AD129" i="6"/>
  <c r="Z129" i="6"/>
  <c r="Y129" i="6"/>
  <c r="AD128" i="6"/>
  <c r="Z128" i="6"/>
  <c r="Y128" i="6"/>
  <c r="AD127" i="6"/>
  <c r="Z127" i="6"/>
  <c r="Y127" i="6"/>
  <c r="AD126" i="6"/>
  <c r="Z126" i="6"/>
  <c r="Y126" i="6"/>
  <c r="AD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AD124" i="6"/>
  <c r="Z124" i="6"/>
  <c r="Y124" i="6"/>
  <c r="AD123" i="6"/>
  <c r="Z123" i="6"/>
  <c r="Y123" i="6"/>
  <c r="AD122" i="6"/>
  <c r="Z122" i="6"/>
  <c r="Y122" i="6"/>
  <c r="AD121" i="6"/>
  <c r="Z121" i="6"/>
  <c r="Y121" i="6"/>
  <c r="AD120" i="6"/>
  <c r="Z120" i="6"/>
  <c r="Y120" i="6"/>
  <c r="AD119" i="6"/>
  <c r="Z119" i="6"/>
  <c r="Y119" i="6"/>
  <c r="AD118" i="6"/>
  <c r="Z118" i="6"/>
  <c r="Y118" i="6"/>
  <c r="AD117" i="6"/>
  <c r="Z117" i="6"/>
  <c r="Y117" i="6"/>
  <c r="AD116" i="6"/>
  <c r="Z116" i="6"/>
  <c r="Y116" i="6"/>
  <c r="AD115" i="6"/>
  <c r="Z115" i="6"/>
  <c r="Y115" i="6"/>
  <c r="AD114" i="6"/>
  <c r="Z114" i="6"/>
  <c r="Y114" i="6"/>
  <c r="AD113" i="6"/>
  <c r="Z113" i="6"/>
  <c r="Y113" i="6"/>
  <c r="AD112" i="6"/>
  <c r="AF118" i="6" s="1"/>
  <c r="Z112" i="6"/>
  <c r="Y112" i="6"/>
  <c r="AD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AD110" i="6"/>
  <c r="Z110" i="6"/>
  <c r="Y110" i="6"/>
  <c r="AD109" i="6"/>
  <c r="Z109" i="6"/>
  <c r="Y109" i="6"/>
  <c r="AD108" i="6"/>
  <c r="Z108" i="6"/>
  <c r="Y108" i="6"/>
  <c r="AD107" i="6"/>
  <c r="Z107" i="6"/>
  <c r="Y107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AD102" i="6"/>
  <c r="Z102" i="6"/>
  <c r="Y102" i="6"/>
  <c r="AD101" i="6"/>
  <c r="Z101" i="6"/>
  <c r="Y101" i="6"/>
  <c r="AD100" i="6"/>
  <c r="Z100" i="6"/>
  <c r="Y100" i="6"/>
  <c r="AD99" i="6"/>
  <c r="Z99" i="6"/>
  <c r="Y99" i="6"/>
  <c r="AD98" i="6"/>
  <c r="Z98" i="6"/>
  <c r="Y98" i="6"/>
  <c r="AD97" i="6"/>
  <c r="Z97" i="6"/>
  <c r="Y97" i="6"/>
  <c r="AD96" i="6"/>
  <c r="Z96" i="6"/>
  <c r="Y96" i="6"/>
  <c r="AD95" i="6"/>
  <c r="Z95" i="6"/>
  <c r="Y95" i="6"/>
  <c r="AD94" i="6"/>
  <c r="Z94" i="6"/>
  <c r="Y94" i="6"/>
  <c r="AD93" i="6"/>
  <c r="Z93" i="6"/>
  <c r="Y93" i="6"/>
  <c r="AD92" i="6"/>
  <c r="Z92" i="6"/>
  <c r="Y92" i="6"/>
  <c r="AD91" i="6"/>
  <c r="Z91" i="6"/>
  <c r="Y91" i="6"/>
  <c r="AD90" i="6"/>
  <c r="Z90" i="6"/>
  <c r="Y90" i="6"/>
  <c r="AD89" i="6"/>
  <c r="AD88" i="6"/>
  <c r="Z88" i="6"/>
  <c r="Y88" i="6"/>
  <c r="AD86" i="6"/>
  <c r="Z86" i="6"/>
  <c r="Y86" i="6"/>
  <c r="AB86" i="6" s="1"/>
  <c r="AD85" i="6"/>
  <c r="Z85" i="6"/>
  <c r="Y85" i="6"/>
  <c r="AD84" i="6"/>
  <c r="Z84" i="6"/>
  <c r="Y84" i="6"/>
  <c r="AD83" i="6"/>
  <c r="Z83" i="6"/>
  <c r="Y83" i="6"/>
  <c r="AD82" i="6"/>
  <c r="Z82" i="6"/>
  <c r="Y82" i="6"/>
  <c r="AD81" i="6"/>
  <c r="Z81" i="6"/>
  <c r="Y81" i="6"/>
  <c r="AD80" i="6"/>
  <c r="AF81" i="6" s="1"/>
  <c r="Z80" i="6"/>
  <c r="Y80" i="6"/>
  <c r="AD79" i="6"/>
  <c r="Z79" i="6"/>
  <c r="Y79" i="6"/>
  <c r="AD78" i="6"/>
  <c r="AF79" i="6" s="1"/>
  <c r="Z78" i="6"/>
  <c r="Y78" i="6"/>
  <c r="AD77" i="6"/>
  <c r="Z77" i="6"/>
  <c r="Y77" i="6"/>
  <c r="AD76" i="6"/>
  <c r="Z76" i="6"/>
  <c r="Y76" i="6"/>
  <c r="AB76" i="6" s="1"/>
  <c r="AD75" i="6"/>
  <c r="Z75" i="6"/>
  <c r="Y75" i="6"/>
  <c r="AD74" i="6"/>
  <c r="AF75" i="6" s="1"/>
  <c r="Z74" i="6"/>
  <c r="Y74" i="6"/>
  <c r="AB74" i="6" s="1"/>
  <c r="AD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AD72" i="6"/>
  <c r="Z72" i="6"/>
  <c r="Y72" i="6"/>
  <c r="AD71" i="6"/>
  <c r="Z71" i="6"/>
  <c r="Y71" i="6"/>
  <c r="AB71" i="6" s="1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D68" i="6"/>
  <c r="Z68" i="6"/>
  <c r="Y68" i="6"/>
  <c r="AD67" i="6"/>
  <c r="Z67" i="6"/>
  <c r="Y67" i="6"/>
  <c r="AD66" i="6"/>
  <c r="Z66" i="6"/>
  <c r="Y66" i="6"/>
  <c r="AD65" i="6"/>
  <c r="Z65" i="6"/>
  <c r="Y65" i="6"/>
  <c r="AD64" i="6"/>
  <c r="Z64" i="6"/>
  <c r="Y64" i="6"/>
  <c r="AD63" i="6"/>
  <c r="Z63" i="6"/>
  <c r="Y63" i="6"/>
  <c r="AD62" i="6"/>
  <c r="Z62" i="6"/>
  <c r="Y62" i="6"/>
  <c r="AD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AC57" i="6" s="1"/>
  <c r="D59" i="6"/>
  <c r="C59" i="6"/>
  <c r="AD58" i="6"/>
  <c r="AB58" i="6"/>
  <c r="Z58" i="6"/>
  <c r="Y58" i="6"/>
  <c r="AD57" i="6"/>
  <c r="Z57" i="6"/>
  <c r="Y57" i="6"/>
  <c r="AB57" i="6" s="1"/>
  <c r="AD56" i="6"/>
  <c r="Z56" i="6"/>
  <c r="Y56" i="6"/>
  <c r="AD55" i="6"/>
  <c r="Z55" i="6"/>
  <c r="Y55" i="6"/>
  <c r="AD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AD53" i="6"/>
  <c r="Z53" i="6"/>
  <c r="Y53" i="6"/>
  <c r="AD52" i="6"/>
  <c r="Z52" i="6"/>
  <c r="Y52" i="6"/>
  <c r="AD51" i="6"/>
  <c r="Z51" i="6"/>
  <c r="Y51" i="6"/>
  <c r="AD50" i="6"/>
  <c r="Z50" i="6"/>
  <c r="Y50" i="6"/>
  <c r="AD49" i="6"/>
  <c r="Z49" i="6"/>
  <c r="Y49" i="6"/>
  <c r="AD48" i="6"/>
  <c r="Z48" i="6"/>
  <c r="Y48" i="6"/>
  <c r="AD47" i="6"/>
  <c r="Z47" i="6"/>
  <c r="Y47" i="6"/>
  <c r="AD46" i="6"/>
  <c r="Z46" i="6"/>
  <c r="Y46" i="6"/>
  <c r="AD45" i="6"/>
  <c r="Z45" i="6"/>
  <c r="Y45" i="6"/>
  <c r="AD44" i="6"/>
  <c r="Z44" i="6"/>
  <c r="Y44" i="6"/>
  <c r="AD43" i="6"/>
  <c r="Z43" i="6"/>
  <c r="Y43" i="6"/>
  <c r="AD42" i="6"/>
  <c r="Z42" i="6"/>
  <c r="Y42" i="6"/>
  <c r="AD41" i="6"/>
  <c r="Z41" i="6"/>
  <c r="Y41" i="6"/>
  <c r="AD39" i="6"/>
  <c r="Z39" i="6"/>
  <c r="Y39" i="6"/>
  <c r="AD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D37" i="6"/>
  <c r="Z37" i="6"/>
  <c r="Y37" i="6"/>
  <c r="AD36" i="6"/>
  <c r="AF37" i="6" s="1"/>
  <c r="Z36" i="6"/>
  <c r="Y36" i="6"/>
  <c r="AD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D34" i="6"/>
  <c r="Z34" i="6"/>
  <c r="Y34" i="6"/>
  <c r="AB33" i="6" s="1"/>
  <c r="AD33" i="6"/>
  <c r="AF34" i="6" s="1"/>
  <c r="Z33" i="6"/>
  <c r="Y33" i="6"/>
  <c r="AD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AD31" i="6"/>
  <c r="Z31" i="6"/>
  <c r="Y31" i="6"/>
  <c r="AD30" i="6"/>
  <c r="AF31" i="6" s="1"/>
  <c r="Z30" i="6"/>
  <c r="Y30" i="6"/>
  <c r="AD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D28" i="6"/>
  <c r="Z28" i="6"/>
  <c r="Y28" i="6"/>
  <c r="AB27" i="6" s="1"/>
  <c r="AD27" i="6"/>
  <c r="AF28" i="6" s="1"/>
  <c r="Z27" i="6"/>
  <c r="Y27" i="6"/>
  <c r="AD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D25" i="6"/>
  <c r="Z25" i="6"/>
  <c r="Y25" i="6"/>
  <c r="AD24" i="6"/>
  <c r="AF25" i="6" s="1"/>
  <c r="Z24" i="6"/>
  <c r="Y24" i="6"/>
  <c r="AD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D22" i="6"/>
  <c r="AF22" i="6" s="1"/>
  <c r="Z22" i="6"/>
  <c r="Y22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D20" i="6"/>
  <c r="Z20" i="6"/>
  <c r="Y20" i="6"/>
  <c r="AD19" i="6"/>
  <c r="Z19" i="6"/>
  <c r="Y19" i="6"/>
  <c r="AD18" i="6"/>
  <c r="Z18" i="6"/>
  <c r="Y18" i="6"/>
  <c r="AD17" i="6"/>
  <c r="Z17" i="6"/>
  <c r="Y17" i="6"/>
  <c r="AD16" i="6"/>
  <c r="Z16" i="6"/>
  <c r="Y16" i="6"/>
  <c r="AD15" i="6"/>
  <c r="Z15" i="6"/>
  <c r="Y15" i="6"/>
  <c r="AB15" i="6" s="1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D13" i="6"/>
  <c r="Z13" i="6"/>
  <c r="Y13" i="6"/>
  <c r="AD12" i="6"/>
  <c r="Z12" i="6"/>
  <c r="Y12" i="6"/>
  <c r="AD11" i="6"/>
  <c r="Z11" i="6"/>
  <c r="Y11" i="6"/>
  <c r="AD10" i="6"/>
  <c r="Z10" i="6"/>
  <c r="Y10" i="6"/>
  <c r="AD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Z4" i="6" s="1"/>
  <c r="C9" i="6"/>
  <c r="AD8" i="6"/>
  <c r="Y8" i="6"/>
  <c r="AB8" i="6" s="1"/>
  <c r="AD7" i="6"/>
  <c r="Y7" i="6"/>
  <c r="AB7" i="6" s="1"/>
  <c r="AD6" i="6"/>
  <c r="Y6" i="6"/>
  <c r="AB6" i="6" s="1"/>
  <c r="AD5" i="6"/>
  <c r="Y5" i="6"/>
  <c r="AB5" i="6" s="1"/>
  <c r="AD4" i="6"/>
  <c r="Y4" i="6"/>
  <c r="Z162" i="2"/>
  <c r="Y162" i="2"/>
  <c r="Z161" i="2"/>
  <c r="Y161" i="2"/>
  <c r="Z160" i="2"/>
  <c r="Y160" i="2"/>
  <c r="Z159" i="2"/>
  <c r="Y159" i="2"/>
  <c r="Z158" i="2"/>
  <c r="Y158" i="2"/>
  <c r="Z157" i="2"/>
  <c r="Y157" i="2"/>
  <c r="Z152" i="2"/>
  <c r="Y152" i="2"/>
  <c r="Z151" i="2"/>
  <c r="Y151" i="2"/>
  <c r="Z150" i="2"/>
  <c r="Y150" i="2"/>
  <c r="Z149" i="2"/>
  <c r="Y149" i="2"/>
  <c r="Z148" i="2"/>
  <c r="Y148" i="2"/>
  <c r="Z147" i="2"/>
  <c r="Y147" i="2"/>
  <c r="Z146" i="2"/>
  <c r="Y146" i="2"/>
  <c r="Z145" i="2"/>
  <c r="Y145" i="2"/>
  <c r="Z144" i="2"/>
  <c r="Y144" i="2"/>
  <c r="Z143" i="2"/>
  <c r="Y143" i="2"/>
  <c r="Z142" i="2"/>
  <c r="Y142" i="2"/>
  <c r="Z140" i="2"/>
  <c r="Y140" i="2"/>
  <c r="Z139" i="2"/>
  <c r="Y139" i="2"/>
  <c r="Z137" i="2"/>
  <c r="Y137" i="2"/>
  <c r="Z135" i="2"/>
  <c r="Y135" i="2"/>
  <c r="Z134" i="2"/>
  <c r="Y134" i="2"/>
  <c r="Z133" i="2"/>
  <c r="Y133" i="2"/>
  <c r="Z132" i="2"/>
  <c r="Y132" i="2"/>
  <c r="Z131" i="2"/>
  <c r="Y131" i="2"/>
  <c r="Z130" i="2"/>
  <c r="Y130" i="2"/>
  <c r="Z129" i="2"/>
  <c r="Y129" i="2"/>
  <c r="Z128" i="2"/>
  <c r="Y128" i="2"/>
  <c r="Z127" i="2"/>
  <c r="Y127" i="2"/>
  <c r="Z126" i="2"/>
  <c r="Y126" i="2"/>
  <c r="Z124" i="2"/>
  <c r="Y124" i="2"/>
  <c r="Z123" i="2"/>
  <c r="Y123" i="2"/>
  <c r="Z122" i="2"/>
  <c r="Y122" i="2"/>
  <c r="Z121" i="2"/>
  <c r="Y121" i="2"/>
  <c r="Z120" i="2"/>
  <c r="Y120" i="2"/>
  <c r="Z119" i="2"/>
  <c r="Y119" i="2"/>
  <c r="Z118" i="2"/>
  <c r="Y118" i="2"/>
  <c r="Z117" i="2"/>
  <c r="Y117" i="2"/>
  <c r="Z116" i="2"/>
  <c r="Y116" i="2"/>
  <c r="Z115" i="2"/>
  <c r="Y115" i="2"/>
  <c r="Z114" i="2"/>
  <c r="Y114" i="2"/>
  <c r="Z113" i="2"/>
  <c r="Y113" i="2"/>
  <c r="Z112" i="2"/>
  <c r="Y112" i="2"/>
  <c r="Z110" i="2"/>
  <c r="Y110" i="2"/>
  <c r="Z109" i="2"/>
  <c r="Y109" i="2"/>
  <c r="Z108" i="2"/>
  <c r="Y108" i="2"/>
  <c r="Z107" i="2"/>
  <c r="Y107" i="2"/>
  <c r="Z102" i="2"/>
  <c r="Y102" i="2"/>
  <c r="Z101" i="2"/>
  <c r="Y101" i="2"/>
  <c r="Z100" i="2"/>
  <c r="Y100" i="2"/>
  <c r="Z99" i="2"/>
  <c r="Y99" i="2"/>
  <c r="Z98" i="2"/>
  <c r="Y98" i="2"/>
  <c r="Z97" i="2"/>
  <c r="Y97" i="2"/>
  <c r="Z96" i="2"/>
  <c r="Y96" i="2"/>
  <c r="Z95" i="2"/>
  <c r="Y95" i="2"/>
  <c r="Z94" i="2"/>
  <c r="Y94" i="2"/>
  <c r="Z93" i="2"/>
  <c r="Y93" i="2"/>
  <c r="Z92" i="2"/>
  <c r="Y92" i="2"/>
  <c r="Z91" i="2"/>
  <c r="Y91" i="2"/>
  <c r="Z90" i="2"/>
  <c r="Y90" i="2"/>
  <c r="Z88" i="2"/>
  <c r="Y88" i="2"/>
  <c r="Z86" i="2"/>
  <c r="Y86" i="2"/>
  <c r="Z85" i="2"/>
  <c r="Y85" i="2"/>
  <c r="Z84" i="2"/>
  <c r="Y84" i="2"/>
  <c r="Z83" i="2"/>
  <c r="Y83" i="2"/>
  <c r="Z82" i="2"/>
  <c r="Y82" i="2"/>
  <c r="Z81" i="2"/>
  <c r="Y81" i="2"/>
  <c r="Z80" i="2"/>
  <c r="Y80" i="2"/>
  <c r="Z79" i="2"/>
  <c r="Y79" i="2"/>
  <c r="Z78" i="2"/>
  <c r="Y78" i="2"/>
  <c r="Z77" i="2"/>
  <c r="Y77" i="2"/>
  <c r="Z76" i="2"/>
  <c r="Y76" i="2"/>
  <c r="Z75" i="2"/>
  <c r="Y75" i="2"/>
  <c r="Z74" i="2"/>
  <c r="Y74" i="2"/>
  <c r="Z72" i="2"/>
  <c r="Y72" i="2"/>
  <c r="Z71" i="2"/>
  <c r="Y71" i="2"/>
  <c r="Z68" i="2"/>
  <c r="Y68" i="2"/>
  <c r="Z67" i="2"/>
  <c r="Y67" i="2"/>
  <c r="Z66" i="2"/>
  <c r="Y66" i="2"/>
  <c r="Z65" i="2"/>
  <c r="Y65" i="2"/>
  <c r="Z64" i="2"/>
  <c r="Y64" i="2"/>
  <c r="Z63" i="2"/>
  <c r="Y63" i="2"/>
  <c r="Z62" i="2"/>
  <c r="Y62" i="2"/>
  <c r="Z58" i="2"/>
  <c r="Y58" i="2"/>
  <c r="Z57" i="2"/>
  <c r="Y57" i="2"/>
  <c r="Z56" i="2"/>
  <c r="Y56" i="2"/>
  <c r="Z55" i="2"/>
  <c r="Y55" i="2"/>
  <c r="Z53" i="2"/>
  <c r="Y53" i="2"/>
  <c r="Z52" i="2"/>
  <c r="Y52" i="2"/>
  <c r="Z51" i="2"/>
  <c r="Y51" i="2"/>
  <c r="Z50" i="2"/>
  <c r="Y50" i="2"/>
  <c r="Z49" i="2"/>
  <c r="Y49" i="2"/>
  <c r="Z48" i="2"/>
  <c r="Y48" i="2"/>
  <c r="Z47" i="2"/>
  <c r="Y47" i="2"/>
  <c r="Z46" i="2"/>
  <c r="Y46" i="2"/>
  <c r="Z45" i="2"/>
  <c r="Y45" i="2"/>
  <c r="Z44" i="2"/>
  <c r="Y44" i="2"/>
  <c r="Z43" i="2"/>
  <c r="Y43" i="2"/>
  <c r="Z42" i="2"/>
  <c r="Y42" i="2"/>
  <c r="Z41" i="2"/>
  <c r="Y41" i="2"/>
  <c r="Z39" i="2"/>
  <c r="Y39" i="2"/>
  <c r="Z37" i="2"/>
  <c r="Y37" i="2"/>
  <c r="Z36" i="2"/>
  <c r="Y36" i="2"/>
  <c r="Z34" i="2"/>
  <c r="Y34" i="2"/>
  <c r="Z33" i="2"/>
  <c r="Y33" i="2"/>
  <c r="Z31" i="2"/>
  <c r="Y31" i="2"/>
  <c r="Z30" i="2"/>
  <c r="Y30" i="2"/>
  <c r="Z28" i="2"/>
  <c r="Y28" i="2"/>
  <c r="Z27" i="2"/>
  <c r="Y27" i="2"/>
  <c r="Z25" i="2"/>
  <c r="Y25" i="2"/>
  <c r="Z24" i="2"/>
  <c r="Y24" i="2"/>
  <c r="Z22" i="2"/>
  <c r="Y22" i="2"/>
  <c r="Z20" i="2"/>
  <c r="Y20" i="2"/>
  <c r="Z19" i="2"/>
  <c r="Y19" i="2"/>
  <c r="Z18" i="2"/>
  <c r="Y18" i="2"/>
  <c r="Z17" i="2"/>
  <c r="Y17" i="2"/>
  <c r="Z16" i="2"/>
  <c r="Y16" i="2"/>
  <c r="Z15" i="2"/>
  <c r="Y15" i="2"/>
  <c r="Z13" i="2"/>
  <c r="Y13" i="2"/>
  <c r="Z12" i="2"/>
  <c r="Y12" i="2"/>
  <c r="Z11" i="2"/>
  <c r="Y11" i="2"/>
  <c r="Z10" i="2"/>
  <c r="Y10" i="2"/>
  <c r="Z4" i="2"/>
  <c r="Y4" i="2"/>
  <c r="Y182" i="2"/>
  <c r="AD182" i="2"/>
  <c r="AF129" i="6" l="1"/>
  <c r="AK87" i="6"/>
  <c r="AF77" i="6"/>
  <c r="AB78" i="6"/>
  <c r="AB107" i="6"/>
  <c r="AB126" i="6"/>
  <c r="AK71" i="6"/>
  <c r="AB80" i="6"/>
  <c r="AF72" i="6"/>
  <c r="AB112" i="6"/>
  <c r="AB93" i="6"/>
  <c r="AF98" i="6"/>
  <c r="AB139" i="6"/>
  <c r="AB157" i="6"/>
  <c r="AC4" i="6"/>
  <c r="AF7" i="6"/>
  <c r="AF47" i="6"/>
  <c r="AB42" i="6"/>
  <c r="AF15" i="6"/>
  <c r="AB62" i="6"/>
  <c r="AF64" i="6"/>
  <c r="AB36" i="6"/>
  <c r="AB24" i="6"/>
  <c r="AB30" i="6"/>
  <c r="AB10" i="6"/>
  <c r="AB142" i="6"/>
  <c r="AB164" i="6"/>
  <c r="AF168" i="6"/>
  <c r="Y172" i="6"/>
  <c r="AC10" i="6"/>
  <c r="AK4" i="6"/>
  <c r="G59" i="4" l="1"/>
  <c r="F26" i="4"/>
  <c r="AH77" i="4"/>
  <c r="AH98" i="4"/>
  <c r="AH118" i="4"/>
  <c r="AH137" i="4"/>
  <c r="AF6" i="4" l="1"/>
  <c r="AA192" i="4" l="1"/>
  <c r="AF190" i="4"/>
  <c r="AA190" i="4"/>
  <c r="AF188" i="4"/>
  <c r="AA188" i="4"/>
  <c r="AF186" i="4"/>
  <c r="AA186" i="4"/>
  <c r="AF185" i="4"/>
  <c r="AA185" i="4"/>
  <c r="AF184" i="4"/>
  <c r="AA184" i="4"/>
  <c r="AF183" i="4"/>
  <c r="AA183" i="4"/>
  <c r="AF182" i="4"/>
  <c r="AA182" i="4"/>
  <c r="AF181" i="4"/>
  <c r="AA181" i="4"/>
  <c r="AF180" i="4"/>
  <c r="AA180" i="4"/>
  <c r="AF179" i="4"/>
  <c r="AA179" i="4"/>
  <c r="AF178" i="4"/>
  <c r="AA178" i="4"/>
  <c r="AF177" i="4"/>
  <c r="AA177" i="4"/>
  <c r="AF176" i="4"/>
  <c r="AA176" i="4"/>
  <c r="AF175" i="4"/>
  <c r="AA175" i="4"/>
  <c r="AF174" i="4"/>
  <c r="AA174" i="4"/>
  <c r="AF173" i="4"/>
  <c r="AA173" i="4"/>
  <c r="Y172" i="4"/>
  <c r="W172" i="4"/>
  <c r="U172" i="4"/>
  <c r="S172" i="4"/>
  <c r="Q172" i="4"/>
  <c r="O172" i="4"/>
  <c r="M172" i="4"/>
  <c r="K172" i="4"/>
  <c r="I172" i="4"/>
  <c r="G172" i="4"/>
  <c r="E172" i="4"/>
  <c r="C172" i="4"/>
  <c r="AF171" i="4"/>
  <c r="AA171" i="4"/>
  <c r="AF170" i="4"/>
  <c r="AA170" i="4"/>
  <c r="AF169" i="4"/>
  <c r="AA169" i="4"/>
  <c r="AF168" i="4"/>
  <c r="AA168" i="4"/>
  <c r="AF167" i="4"/>
  <c r="AA167" i="4"/>
  <c r="AF166" i="4"/>
  <c r="AA166" i="4"/>
  <c r="AF165" i="4"/>
  <c r="AA165" i="4"/>
  <c r="AF164" i="4"/>
  <c r="AA164" i="4"/>
  <c r="AF162" i="4"/>
  <c r="AB162" i="4"/>
  <c r="AA162" i="4"/>
  <c r="AF161" i="4"/>
  <c r="AB161" i="4"/>
  <c r="AA161" i="4"/>
  <c r="AF160" i="4"/>
  <c r="AB160" i="4"/>
  <c r="AA160" i="4"/>
  <c r="AF159" i="4"/>
  <c r="AB159" i="4"/>
  <c r="AA159" i="4"/>
  <c r="AF158" i="4"/>
  <c r="AB158" i="4"/>
  <c r="AA158" i="4"/>
  <c r="AF157" i="4"/>
  <c r="AB157" i="4"/>
  <c r="AA157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F152" i="4"/>
  <c r="AB152" i="4"/>
  <c r="AA152" i="4"/>
  <c r="AF151" i="4"/>
  <c r="AB151" i="4"/>
  <c r="AA151" i="4"/>
  <c r="AF150" i="4"/>
  <c r="AB150" i="4"/>
  <c r="AA150" i="4"/>
  <c r="AF149" i="4"/>
  <c r="AB149" i="4"/>
  <c r="AA149" i="4"/>
  <c r="AF148" i="4"/>
  <c r="AB148" i="4"/>
  <c r="AA148" i="4"/>
  <c r="AF147" i="4"/>
  <c r="AB147" i="4"/>
  <c r="AA147" i="4"/>
  <c r="AF146" i="4"/>
  <c r="AB146" i="4"/>
  <c r="AA146" i="4"/>
  <c r="AF145" i="4"/>
  <c r="AB145" i="4"/>
  <c r="AA145" i="4"/>
  <c r="AF144" i="4"/>
  <c r="AB144" i="4"/>
  <c r="AA144" i="4"/>
  <c r="AF143" i="4"/>
  <c r="AB143" i="4"/>
  <c r="AA143" i="4"/>
  <c r="AF142" i="4"/>
  <c r="AB142" i="4"/>
  <c r="AA142" i="4"/>
  <c r="AF140" i="4"/>
  <c r="AB140" i="4"/>
  <c r="AA140" i="4"/>
  <c r="AF139" i="4"/>
  <c r="AB139" i="4"/>
  <c r="AA139" i="4"/>
  <c r="AF137" i="4"/>
  <c r="AB137" i="4"/>
  <c r="AA137" i="4"/>
  <c r="AF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F135" i="4"/>
  <c r="AB135" i="4"/>
  <c r="AA135" i="4"/>
  <c r="AF134" i="4"/>
  <c r="AB134" i="4"/>
  <c r="AA134" i="4"/>
  <c r="AF133" i="4"/>
  <c r="AB133" i="4"/>
  <c r="AA133" i="4"/>
  <c r="AF132" i="4"/>
  <c r="AB132" i="4"/>
  <c r="AA132" i="4"/>
  <c r="AF131" i="4"/>
  <c r="AB131" i="4"/>
  <c r="AA131" i="4"/>
  <c r="AF130" i="4"/>
  <c r="AB130" i="4"/>
  <c r="AA130" i="4"/>
  <c r="AF129" i="4"/>
  <c r="AB129" i="4"/>
  <c r="AA129" i="4"/>
  <c r="AF128" i="4"/>
  <c r="AB128" i="4"/>
  <c r="AA128" i="4"/>
  <c r="AF127" i="4"/>
  <c r="AB127" i="4"/>
  <c r="AA127" i="4"/>
  <c r="AF126" i="4"/>
  <c r="AB126" i="4"/>
  <c r="AA126" i="4"/>
  <c r="AF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F124" i="4"/>
  <c r="AB124" i="4"/>
  <c r="AA124" i="4"/>
  <c r="AF123" i="4"/>
  <c r="AB123" i="4"/>
  <c r="AA123" i="4"/>
  <c r="AF122" i="4"/>
  <c r="AB122" i="4"/>
  <c r="AA122" i="4"/>
  <c r="AF121" i="4"/>
  <c r="AB121" i="4"/>
  <c r="AA121" i="4"/>
  <c r="AF120" i="4"/>
  <c r="AB120" i="4"/>
  <c r="AA120" i="4"/>
  <c r="AF119" i="4"/>
  <c r="AB119" i="4"/>
  <c r="AA119" i="4"/>
  <c r="AF118" i="4"/>
  <c r="AB118" i="4"/>
  <c r="AA118" i="4"/>
  <c r="AF117" i="4"/>
  <c r="AB117" i="4"/>
  <c r="AA117" i="4"/>
  <c r="AF116" i="4"/>
  <c r="AB116" i="4"/>
  <c r="AA116" i="4"/>
  <c r="AF115" i="4"/>
  <c r="AB115" i="4"/>
  <c r="AA115" i="4"/>
  <c r="AF114" i="4"/>
  <c r="AB114" i="4"/>
  <c r="AA114" i="4"/>
  <c r="AF113" i="4"/>
  <c r="AB113" i="4"/>
  <c r="AA113" i="4"/>
  <c r="AF112" i="4"/>
  <c r="AB112" i="4"/>
  <c r="AA112" i="4"/>
  <c r="AF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F110" i="4"/>
  <c r="AB110" i="4"/>
  <c r="AA110" i="4"/>
  <c r="AF109" i="4"/>
  <c r="AB109" i="4"/>
  <c r="AA109" i="4"/>
  <c r="AF108" i="4"/>
  <c r="AB108" i="4"/>
  <c r="AA108" i="4"/>
  <c r="AF107" i="4"/>
  <c r="AB107" i="4"/>
  <c r="AA107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F102" i="4"/>
  <c r="AB102" i="4"/>
  <c r="AA102" i="4"/>
  <c r="AF101" i="4"/>
  <c r="AB101" i="4"/>
  <c r="AA101" i="4"/>
  <c r="AF100" i="4"/>
  <c r="AB100" i="4"/>
  <c r="AA100" i="4"/>
  <c r="AF99" i="4"/>
  <c r="AB99" i="4"/>
  <c r="AA99" i="4"/>
  <c r="AF98" i="4"/>
  <c r="AB98" i="4"/>
  <c r="AA98" i="4"/>
  <c r="AF97" i="4"/>
  <c r="AB97" i="4"/>
  <c r="AA97" i="4"/>
  <c r="AF96" i="4"/>
  <c r="AB96" i="4"/>
  <c r="AA96" i="4"/>
  <c r="AF95" i="4"/>
  <c r="AB95" i="4"/>
  <c r="AA95" i="4"/>
  <c r="AF94" i="4"/>
  <c r="AB94" i="4"/>
  <c r="AA94" i="4"/>
  <c r="AF93" i="4"/>
  <c r="AB93" i="4"/>
  <c r="AA93" i="4"/>
  <c r="AF92" i="4"/>
  <c r="AB92" i="4"/>
  <c r="AA92" i="4"/>
  <c r="AF91" i="4"/>
  <c r="AB91" i="4"/>
  <c r="AA91" i="4"/>
  <c r="AF90" i="4"/>
  <c r="AB90" i="4"/>
  <c r="AA90" i="4"/>
  <c r="AF89" i="4"/>
  <c r="AF88" i="4"/>
  <c r="AB88" i="4"/>
  <c r="AA88" i="4"/>
  <c r="AF86" i="4"/>
  <c r="AB86" i="4"/>
  <c r="AA86" i="4"/>
  <c r="AD86" i="4" s="1"/>
  <c r="AF85" i="4"/>
  <c r="AB85" i="4"/>
  <c r="AA85" i="4"/>
  <c r="AF84" i="4"/>
  <c r="AB84" i="4"/>
  <c r="AA84" i="4"/>
  <c r="AF83" i="4"/>
  <c r="AB83" i="4"/>
  <c r="AA83" i="4"/>
  <c r="AF82" i="4"/>
  <c r="AB82" i="4"/>
  <c r="AA82" i="4"/>
  <c r="AF81" i="4"/>
  <c r="AB81" i="4"/>
  <c r="AA81" i="4"/>
  <c r="AF80" i="4"/>
  <c r="AD80" i="4"/>
  <c r="AB80" i="4"/>
  <c r="AA80" i="4"/>
  <c r="AF79" i="4"/>
  <c r="AB79" i="4"/>
  <c r="AA79" i="4"/>
  <c r="AF78" i="4"/>
  <c r="AD78" i="4"/>
  <c r="AB78" i="4"/>
  <c r="AA78" i="4"/>
  <c r="AF77" i="4"/>
  <c r="AB77" i="4"/>
  <c r="AA77" i="4"/>
  <c r="AF76" i="4"/>
  <c r="AB76" i="4"/>
  <c r="AA76" i="4"/>
  <c r="AF75" i="4"/>
  <c r="AB75" i="4"/>
  <c r="AA75" i="4"/>
  <c r="AF74" i="4"/>
  <c r="AH75" i="4" s="1"/>
  <c r="AB74" i="4"/>
  <c r="AA74" i="4"/>
  <c r="AD74" i="4" s="1"/>
  <c r="AF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F72" i="4"/>
  <c r="AB72" i="4"/>
  <c r="AA72" i="4"/>
  <c r="AF71" i="4"/>
  <c r="AD71" i="4"/>
  <c r="AB71" i="4"/>
  <c r="AA71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F68" i="4"/>
  <c r="AB68" i="4"/>
  <c r="AA68" i="4"/>
  <c r="AF67" i="4"/>
  <c r="AB67" i="4"/>
  <c r="AA67" i="4"/>
  <c r="AF66" i="4"/>
  <c r="AB66" i="4"/>
  <c r="AA66" i="4"/>
  <c r="AF65" i="4"/>
  <c r="AB65" i="4"/>
  <c r="AA65" i="4"/>
  <c r="AF64" i="4"/>
  <c r="AB64" i="4"/>
  <c r="AA64" i="4"/>
  <c r="AF63" i="4"/>
  <c r="AB63" i="4"/>
  <c r="AA63" i="4"/>
  <c r="AF62" i="4"/>
  <c r="AB62" i="4"/>
  <c r="AA62" i="4"/>
  <c r="AF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F59" i="4"/>
  <c r="E59" i="4"/>
  <c r="D59" i="4"/>
  <c r="C59" i="4"/>
  <c r="AF58" i="4"/>
  <c r="AB58" i="4"/>
  <c r="AA58" i="4"/>
  <c r="AD58" i="4" s="1"/>
  <c r="AF57" i="4"/>
  <c r="AD57" i="4"/>
  <c r="AB57" i="4"/>
  <c r="AA57" i="4"/>
  <c r="AF56" i="4"/>
  <c r="AB56" i="4"/>
  <c r="AA56" i="4"/>
  <c r="AF55" i="4"/>
  <c r="AB55" i="4"/>
  <c r="AA55" i="4"/>
  <c r="AF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F53" i="4"/>
  <c r="AB53" i="4"/>
  <c r="AA53" i="4"/>
  <c r="AF52" i="4"/>
  <c r="AB52" i="4"/>
  <c r="AA52" i="4"/>
  <c r="AF51" i="4"/>
  <c r="AB51" i="4"/>
  <c r="AA51" i="4"/>
  <c r="AF50" i="4"/>
  <c r="AB50" i="4"/>
  <c r="AA50" i="4"/>
  <c r="AF49" i="4"/>
  <c r="AB49" i="4"/>
  <c r="AA49" i="4"/>
  <c r="AF48" i="4"/>
  <c r="AB48" i="4"/>
  <c r="AA48" i="4"/>
  <c r="AF47" i="4"/>
  <c r="AB47" i="4"/>
  <c r="AA47" i="4"/>
  <c r="AF46" i="4"/>
  <c r="AB46" i="4"/>
  <c r="AA46" i="4"/>
  <c r="AF45" i="4"/>
  <c r="AB45" i="4"/>
  <c r="AA45" i="4"/>
  <c r="AF44" i="4"/>
  <c r="AB44" i="4"/>
  <c r="AA44" i="4"/>
  <c r="AF43" i="4"/>
  <c r="AB43" i="4"/>
  <c r="AA43" i="4"/>
  <c r="AF42" i="4"/>
  <c r="AB42" i="4"/>
  <c r="AA42" i="4"/>
  <c r="AF41" i="4"/>
  <c r="AB41" i="4"/>
  <c r="AA41" i="4"/>
  <c r="AF39" i="4"/>
  <c r="AB39" i="4"/>
  <c r="AA39" i="4"/>
  <c r="AF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F37" i="4"/>
  <c r="AB37" i="4"/>
  <c r="AA37" i="4"/>
  <c r="AF36" i="4"/>
  <c r="AB36" i="4"/>
  <c r="AA36" i="4"/>
  <c r="AD36" i="4" s="1"/>
  <c r="AF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F34" i="4"/>
  <c r="AB34" i="4"/>
  <c r="AA34" i="4"/>
  <c r="AF33" i="4"/>
  <c r="AH34" i="4" s="1"/>
  <c r="AB33" i="4"/>
  <c r="AA33" i="4"/>
  <c r="AD33" i="4" s="1"/>
  <c r="AF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F31" i="4"/>
  <c r="AB31" i="4"/>
  <c r="AA31" i="4"/>
  <c r="AF30" i="4"/>
  <c r="AB30" i="4"/>
  <c r="AA30" i="4"/>
  <c r="AD30" i="4" s="1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F28" i="4"/>
  <c r="AB28" i="4"/>
  <c r="AA28" i="4"/>
  <c r="AF27" i="4"/>
  <c r="AH28" i="4" s="1"/>
  <c r="AB27" i="4"/>
  <c r="AA27" i="4"/>
  <c r="AD27" i="4" s="1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E26" i="4"/>
  <c r="D26" i="4"/>
  <c r="C26" i="4"/>
  <c r="AF25" i="4"/>
  <c r="AB25" i="4"/>
  <c r="AA25" i="4"/>
  <c r="AF24" i="4"/>
  <c r="AB24" i="4"/>
  <c r="AA24" i="4"/>
  <c r="AD24" i="4" s="1"/>
  <c r="AF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F22" i="4"/>
  <c r="AH22" i="4" s="1"/>
  <c r="AB22" i="4"/>
  <c r="AA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F20" i="4"/>
  <c r="AB20" i="4"/>
  <c r="AA20" i="4"/>
  <c r="AF19" i="4"/>
  <c r="AB19" i="4"/>
  <c r="AA19" i="4"/>
  <c r="AF18" i="4"/>
  <c r="AB18" i="4"/>
  <c r="AA18" i="4"/>
  <c r="AF17" i="4"/>
  <c r="AB17" i="4"/>
  <c r="AA17" i="4"/>
  <c r="AF16" i="4"/>
  <c r="AB16" i="4"/>
  <c r="AA16" i="4"/>
  <c r="AF15" i="4"/>
  <c r="AB15" i="4"/>
  <c r="AA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F13" i="4"/>
  <c r="AB13" i="4"/>
  <c r="AA13" i="4"/>
  <c r="AF12" i="4"/>
  <c r="AB12" i="4"/>
  <c r="AA12" i="4"/>
  <c r="AF11" i="4"/>
  <c r="AB11" i="4"/>
  <c r="AA11" i="4"/>
  <c r="AF10" i="4"/>
  <c r="AB10" i="4"/>
  <c r="AA10" i="4"/>
  <c r="AF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AB4" i="4" s="1"/>
  <c r="E9" i="4"/>
  <c r="D9" i="4"/>
  <c r="C9" i="4"/>
  <c r="AF8" i="4"/>
  <c r="AA8" i="4"/>
  <c r="AD8" i="4" s="1"/>
  <c r="AF7" i="4"/>
  <c r="AA7" i="4"/>
  <c r="AD7" i="4" s="1"/>
  <c r="AH7" i="4"/>
  <c r="AA6" i="4"/>
  <c r="AD6" i="4" s="1"/>
  <c r="AF5" i="4"/>
  <c r="AD5" i="4"/>
  <c r="AA5" i="4"/>
  <c r="AF4" i="4"/>
  <c r="AA4" i="4"/>
  <c r="AD10" i="2"/>
  <c r="AD8" i="2"/>
  <c r="AD5" i="2"/>
  <c r="W21" i="2"/>
  <c r="AD59" i="2"/>
  <c r="AD191" i="2"/>
  <c r="AD189" i="2"/>
  <c r="AD175" i="2"/>
  <c r="AD174" i="2"/>
  <c r="AD173" i="2"/>
  <c r="AD171" i="2"/>
  <c r="AD176" i="2"/>
  <c r="AD177" i="2"/>
  <c r="AD178" i="2"/>
  <c r="AD179" i="2"/>
  <c r="AD180" i="2"/>
  <c r="AD181" i="2"/>
  <c r="AD183" i="2"/>
  <c r="AD184" i="2"/>
  <c r="AD185" i="2"/>
  <c r="AD186" i="2"/>
  <c r="AD187" i="2"/>
  <c r="AD165" i="2"/>
  <c r="AD166" i="2"/>
  <c r="AD167" i="2"/>
  <c r="AD168" i="2"/>
  <c r="AD169" i="2"/>
  <c r="AD170" i="2"/>
  <c r="AD164" i="2"/>
  <c r="AD158" i="2"/>
  <c r="AD159" i="2"/>
  <c r="AD160" i="2"/>
  <c r="AD161" i="2"/>
  <c r="AD162" i="2"/>
  <c r="AD157" i="2"/>
  <c r="AD143" i="2"/>
  <c r="AD144" i="2"/>
  <c r="AD145" i="2"/>
  <c r="AD146" i="2"/>
  <c r="AD147" i="2"/>
  <c r="AD148" i="2"/>
  <c r="AD149" i="2"/>
  <c r="AD150" i="2"/>
  <c r="AD151" i="2"/>
  <c r="AD152" i="2"/>
  <c r="AD142" i="2"/>
  <c r="AD140" i="2"/>
  <c r="AD139" i="2"/>
  <c r="AD13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07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88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71" i="2"/>
  <c r="AD63" i="2"/>
  <c r="AD64" i="2"/>
  <c r="AD65" i="2"/>
  <c r="AD66" i="2"/>
  <c r="AD67" i="2"/>
  <c r="AD68" i="2"/>
  <c r="AD62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41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22" i="2"/>
  <c r="AD16" i="2"/>
  <c r="AD17" i="2"/>
  <c r="AD18" i="2"/>
  <c r="AD19" i="2"/>
  <c r="AD20" i="2"/>
  <c r="AD15" i="2"/>
  <c r="AD11" i="2"/>
  <c r="AD12" i="2"/>
  <c r="AD13" i="2"/>
  <c r="AD9" i="2"/>
  <c r="AD6" i="2"/>
  <c r="AD7" i="2"/>
  <c r="AD4" i="2"/>
  <c r="AD126" i="4" l="1"/>
  <c r="AH81" i="4"/>
  <c r="AH79" i="4"/>
  <c r="AD107" i="4"/>
  <c r="AH72" i="4"/>
  <c r="AD76" i="4"/>
  <c r="AE57" i="4"/>
  <c r="AD112" i="4"/>
  <c r="AH129" i="4"/>
  <c r="AD93" i="4"/>
  <c r="AM87" i="4"/>
  <c r="AD139" i="4"/>
  <c r="AD157" i="4"/>
  <c r="AD42" i="4"/>
  <c r="AH47" i="4"/>
  <c r="AD15" i="4"/>
  <c r="AH15" i="4"/>
  <c r="AD62" i="4"/>
  <c r="AH64" i="4"/>
  <c r="AH25" i="4"/>
  <c r="AH37" i="4"/>
  <c r="AH31" i="4"/>
  <c r="AD10" i="4"/>
  <c r="AE10" i="4" s="1"/>
  <c r="AE4" i="4"/>
  <c r="AD142" i="4"/>
  <c r="AH168" i="4"/>
  <c r="AA172" i="4"/>
  <c r="AM4" i="4"/>
  <c r="AM71" i="4"/>
  <c r="AF129" i="2"/>
  <c r="AF47" i="2"/>
  <c r="Y193" i="2"/>
  <c r="Y191" i="2"/>
  <c r="Y189" i="2"/>
  <c r="Y187" i="2"/>
  <c r="Y186" i="2"/>
  <c r="Y185" i="2"/>
  <c r="Y184" i="2"/>
  <c r="Y183" i="2"/>
  <c r="Y181" i="2"/>
  <c r="Y180" i="2"/>
  <c r="Y179" i="2"/>
  <c r="Y178" i="2"/>
  <c r="Y177" i="2"/>
  <c r="Y176" i="2"/>
  <c r="Y175" i="2"/>
  <c r="Y174" i="2"/>
  <c r="Y173" i="2"/>
  <c r="W172" i="2"/>
  <c r="U172" i="2"/>
  <c r="S172" i="2"/>
  <c r="Q172" i="2"/>
  <c r="O172" i="2"/>
  <c r="M172" i="2"/>
  <c r="K172" i="2"/>
  <c r="I172" i="2"/>
  <c r="G172" i="2"/>
  <c r="E172" i="2"/>
  <c r="C172" i="2"/>
  <c r="Y171" i="2"/>
  <c r="Y170" i="2"/>
  <c r="Y169" i="2"/>
  <c r="AF168" i="2"/>
  <c r="Y168" i="2"/>
  <c r="Y167" i="2"/>
  <c r="Y166" i="2"/>
  <c r="Y165" i="2"/>
  <c r="Y164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F137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F118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F98" i="2"/>
  <c r="AK87" i="2"/>
  <c r="AB86" i="2"/>
  <c r="AF81" i="2"/>
  <c r="AF79" i="2"/>
  <c r="AF77" i="2"/>
  <c r="AF75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F72" i="2"/>
  <c r="AK71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F64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B58" i="2"/>
  <c r="AB57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F37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F34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F31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F28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F25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F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F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Y8" i="2"/>
  <c r="AB8" i="2" s="1"/>
  <c r="AF7" i="2"/>
  <c r="Y7" i="2"/>
  <c r="AB7" i="2" s="1"/>
  <c r="Y6" i="2"/>
  <c r="AB6" i="2" s="1"/>
  <c r="Y5" i="2"/>
  <c r="AB5" i="2" s="1"/>
  <c r="AK4" i="2"/>
  <c r="AB78" i="2" l="1"/>
  <c r="AB139" i="2"/>
  <c r="AB27" i="2"/>
  <c r="AB30" i="2"/>
  <c r="AB33" i="2"/>
  <c r="AB36" i="2"/>
  <c r="AB10" i="2"/>
  <c r="AB15" i="2"/>
  <c r="AB74" i="2"/>
  <c r="AB107" i="2"/>
  <c r="AB62" i="2"/>
  <c r="AB80" i="2"/>
  <c r="AB76" i="2"/>
  <c r="AC57" i="2"/>
  <c r="AB24" i="2"/>
  <c r="AB71" i="2"/>
  <c r="AB157" i="2"/>
  <c r="AB164" i="2"/>
  <c r="AB93" i="2"/>
  <c r="AB112" i="2"/>
  <c r="AB126" i="2"/>
  <c r="AB142" i="2"/>
  <c r="Y172" i="2"/>
  <c r="AC4" i="2"/>
  <c r="AB42" i="2"/>
  <c r="AC10" i="2" l="1"/>
</calcChain>
</file>

<file path=xl/sharedStrings.xml><?xml version="1.0" encoding="utf-8"?>
<sst xmlns="http://schemas.openxmlformats.org/spreadsheetml/2006/main" count="1863" uniqueCount="218">
  <si>
    <t xml:space="preserve">       VENTAS DIARIAS POR PRODUCTO DEL 18,19,20 DE SEPTIEMBRE DEL 2026</t>
  </si>
  <si>
    <t>PRODUCTO</t>
  </si>
  <si>
    <t>SALITRE</t>
  </si>
  <si>
    <t>ANDINO</t>
  </si>
  <si>
    <t>TITAN</t>
  </si>
  <si>
    <t>COLINA</t>
  </si>
  <si>
    <t>STA FE</t>
  </si>
  <si>
    <t>FONTANAR</t>
  </si>
  <si>
    <t>CHÍA</t>
  </si>
  <si>
    <t>CRA 9</t>
  </si>
  <si>
    <t>CLL 109</t>
  </si>
  <si>
    <t>CLL 122</t>
  </si>
  <si>
    <t>CEDRITOS</t>
  </si>
  <si>
    <t>FABRICA</t>
  </si>
  <si>
    <t xml:space="preserve">TOTAL </t>
  </si>
  <si>
    <t>TOTAL STOCK</t>
  </si>
  <si>
    <t>T.P</t>
  </si>
  <si>
    <t>VENTA TOTAL</t>
  </si>
  <si>
    <t>VENTA</t>
  </si>
  <si>
    <t>STOCK</t>
  </si>
  <si>
    <t>BITE SIZE X UNIDAD</t>
  </si>
  <si>
    <t xml:space="preserve">BITES
</t>
  </si>
  <si>
    <t>MINI BITES X 4 UND</t>
  </si>
  <si>
    <t>MINI BITES X 8 UND</t>
  </si>
  <si>
    <t>BITES X 8 UND</t>
  </si>
  <si>
    <t>MINI BITES X 12 UND</t>
  </si>
  <si>
    <t>BITES X 12 UND</t>
  </si>
  <si>
    <t>MINI BITES X 16 UND</t>
  </si>
  <si>
    <t>BITES X 16 UND</t>
  </si>
  <si>
    <t xml:space="preserve">ARITOS </t>
  </si>
  <si>
    <t xml:space="preserve">ARITOS
</t>
  </si>
  <si>
    <t>ARITO LIGHT</t>
  </si>
  <si>
    <t>ARITO ARANDANO</t>
  </si>
  <si>
    <t>ARITO FRAMBUESA</t>
  </si>
  <si>
    <t>ARITO VASCO</t>
  </si>
  <si>
    <t>ARITO VASCO AGRAZ</t>
  </si>
  <si>
    <t>ARITO VASCO ARANDANO</t>
  </si>
  <si>
    <t>ARITO VASCO ZERO</t>
  </si>
  <si>
    <t>ARITO PISTACHO</t>
  </si>
  <si>
    <t>ARITO CHOCOFLAN</t>
  </si>
  <si>
    <t>MONOPORCION</t>
  </si>
  <si>
    <t>MONOPORCION ZERO FRUTOS ROJOS</t>
  </si>
  <si>
    <t>PX CHEESECAKE N</t>
  </si>
  <si>
    <t>TOTAL PX</t>
  </si>
  <si>
    <t>TOTAL CHEESECAKES</t>
  </si>
  <si>
    <t>PX CHEESECAKE S/A</t>
  </si>
  <si>
    <t>MINIMEDIANO NORMAL</t>
  </si>
  <si>
    <t>MINIMEDIANOS</t>
  </si>
  <si>
    <t>MINIMEDIANO SIN AZÚCAR</t>
  </si>
  <si>
    <t>MEDIANO NORMAL</t>
  </si>
  <si>
    <t>MEDIANOS</t>
  </si>
  <si>
    <t>MEDIANO SIN AZÚCAR</t>
  </si>
  <si>
    <t>DOBLE NORMAL</t>
  </si>
  <si>
    <t>DOBLES</t>
  </si>
  <si>
    <t>DOBLE SIN AZÚCAR</t>
  </si>
  <si>
    <t>TRIPLE NORMAL</t>
  </si>
  <si>
    <t>TRIPLES</t>
  </si>
  <si>
    <t>TRIPLE SIN AZÚCAR</t>
  </si>
  <si>
    <t>PORCION ESPECIAL</t>
  </si>
  <si>
    <t>MED 10PX</t>
  </si>
  <si>
    <t>MED CARAMELO</t>
  </si>
  <si>
    <t>MED FESTIVAL CHEESECAKES</t>
  </si>
  <si>
    <t>MED ESPECIAL</t>
  </si>
  <si>
    <t>MED FRAMBUESA</t>
  </si>
  <si>
    <t>MED FRUTOS ROJOS</t>
  </si>
  <si>
    <t>MED FRUTOS ROJOS ZERO</t>
  </si>
  <si>
    <t>MED LIMON</t>
  </si>
  <si>
    <t>MED MARACUYA</t>
  </si>
  <si>
    <t>MED NEW YOR</t>
  </si>
  <si>
    <t>MED SOLO FRESAS CON MENSAJE</t>
  </si>
  <si>
    <t>MED BLACKBERRY/BROWNIE</t>
  </si>
  <si>
    <t>MED BROWNIE</t>
  </si>
  <si>
    <t>MED VASCO</t>
  </si>
  <si>
    <t>MED VASCO FURTOS DEL BOSQUE</t>
  </si>
  <si>
    <t>DOBLE ESPECIAL</t>
  </si>
  <si>
    <t>3X4 CHEESECAKE TRADICIONAL</t>
  </si>
  <si>
    <t>3X4 CHEESE TRADICIONAL</t>
  </si>
  <si>
    <t>3X4 CHEESECAKE LIGHT</t>
  </si>
  <si>
    <t>AMERICAN CUPS</t>
  </si>
  <si>
    <t>SHORTCAKE</t>
  </si>
  <si>
    <t>CHOCO OREO</t>
  </si>
  <si>
    <t>CHOCORRAMO</t>
  </si>
  <si>
    <t>FRAMBUESA</t>
  </si>
  <si>
    <t>ZANAHORIA</t>
  </si>
  <si>
    <t>RED LEMON</t>
  </si>
  <si>
    <t>TRES LECHES ZERO</t>
  </si>
  <si>
    <t>MINITARTALETA NORMAL</t>
  </si>
  <si>
    <t>MINITARTALETA</t>
  </si>
  <si>
    <t>MINITARTALETA S/A</t>
  </si>
  <si>
    <t>PX TARTALETA N</t>
  </si>
  <si>
    <t>TARTALETA PX</t>
  </si>
  <si>
    <t>PX TARTALETAS S/A</t>
  </si>
  <si>
    <t>TARTALETA 8PX N</t>
  </si>
  <si>
    <t>TARTALETA 8PX</t>
  </si>
  <si>
    <t>TARTALETA 8PX S/A</t>
  </si>
  <si>
    <t>TARTALETA  12PX N</t>
  </si>
  <si>
    <t>TARTALETA 12PX</t>
  </si>
  <si>
    <t>TARTALETA  12PX S/A</t>
  </si>
  <si>
    <t>TARTALETA  18PX N</t>
  </si>
  <si>
    <t>TARTALETA 18PX</t>
  </si>
  <si>
    <t>TARTALETA</t>
  </si>
  <si>
    <t>TARTALETA  18PX S/A</t>
  </si>
  <si>
    <t>MERENGON PERSONAL</t>
  </si>
  <si>
    <t>PIE LIMON</t>
  </si>
  <si>
    <t>PIE MANZANA</t>
  </si>
  <si>
    <t>MILHOJAS</t>
  </si>
  <si>
    <t>COPITAS 3 LECHES</t>
  </si>
  <si>
    <t>PROMOCION</t>
  </si>
  <si>
    <t>2 PORCIONES DE TORTA</t>
  </si>
  <si>
    <t>PX PONQUES</t>
  </si>
  <si>
    <t>PX EN CUADROS REDVELVET</t>
  </si>
  <si>
    <t>PX EN CUADROS ZANAHORIA</t>
  </si>
  <si>
    <t>MINIPONQUES</t>
  </si>
  <si>
    <t xml:space="preserve">MINIPONQUE
</t>
  </si>
  <si>
    <t>MINIP. S/AZUCAR</t>
  </si>
  <si>
    <t>MINIPONQUÉ KINDER</t>
  </si>
  <si>
    <t>MINIPONQUÉ FRUTOS ROJOS</t>
  </si>
  <si>
    <t>MINIPONQUÉ M&amp;M</t>
  </si>
  <si>
    <t>MINIPONQUÉ OREO</t>
  </si>
  <si>
    <t>MINIPONQUÉ REDVELVET</t>
  </si>
  <si>
    <t>MINIPONQUÉ NUTELLA</t>
  </si>
  <si>
    <t>MINIPONQUÉ SELVA NEGRA</t>
  </si>
  <si>
    <t>MINIPONQUÉ WALLNUT</t>
  </si>
  <si>
    <t>TORTAS</t>
  </si>
  <si>
    <t>TORTA 5 PX</t>
  </si>
  <si>
    <t xml:space="preserve">TORTA 5 PX GANACHE </t>
  </si>
  <si>
    <t>TOTTA 5 PX RED VELVET</t>
  </si>
  <si>
    <t>T. 3 Leches Zero 5 PX</t>
  </si>
  <si>
    <t>TORTA 8 PX</t>
  </si>
  <si>
    <t xml:space="preserve">TORTA 8PX
</t>
  </si>
  <si>
    <t>TORTA 8 PX S/AZÚCAR</t>
  </si>
  <si>
    <t>TOTAL TORTAS</t>
  </si>
  <si>
    <t>TORTA 3 LECHES 8PX</t>
  </si>
  <si>
    <t>TORTA 8PX GANACHE</t>
  </si>
  <si>
    <t>TORTA 8PX CHOCOFRAMBUESA</t>
  </si>
  <si>
    <t>TORTA 8 PX KINDER</t>
  </si>
  <si>
    <t>TORTA 8PX MMS</t>
  </si>
  <si>
    <t>TORTA 8 PX NUTELLA</t>
  </si>
  <si>
    <t>TORTA 8PX RED VELVET</t>
  </si>
  <si>
    <t>TORTA 8PX SHORTCAKE</t>
  </si>
  <si>
    <t>TORTA 8 PX SELVA NEGRA</t>
  </si>
  <si>
    <t>TORTA 8 PX WALLNUT</t>
  </si>
  <si>
    <t>TORTA 8PX ZANAHORIA</t>
  </si>
  <si>
    <t>TORTA 12PX</t>
  </si>
  <si>
    <t xml:space="preserve">TORTA 12PX
</t>
  </si>
  <si>
    <t>TORTA 12 PX 3 LECHES</t>
  </si>
  <si>
    <t>TORTA 12 PX OREO</t>
  </si>
  <si>
    <t>TORTA 12 PX KINDER</t>
  </si>
  <si>
    <t>TORTA 12 PX CROCANTE DE CARAMELO</t>
  </si>
  <si>
    <t>TORTA 12 PX M&amp;M</t>
  </si>
  <si>
    <t>TORTA 12 PX NUTELLA</t>
  </si>
  <si>
    <t>TORTA 12PX REDVELVET</t>
  </si>
  <si>
    <t>TORTA 12 PX SELVA NEGRA</t>
  </si>
  <si>
    <t>TORTA 12 PX WALLNUT</t>
  </si>
  <si>
    <t>TORTA 18PX</t>
  </si>
  <si>
    <t>TORTA 18 PX OREO</t>
  </si>
  <si>
    <t>PRODUCTOS DE SAL</t>
  </si>
  <si>
    <t>PALOS DE QUESO</t>
  </si>
  <si>
    <t>PASTELES DE POLLO</t>
  </si>
  <si>
    <t>BROWNIES</t>
  </si>
  <si>
    <t>MINI BROWNIES</t>
  </si>
  <si>
    <t>BLONDIE</t>
  </si>
  <si>
    <t>CHEESECAKES</t>
  </si>
  <si>
    <t>CHIPS NEGRO</t>
  </si>
  <si>
    <t>CHOCOLATE</t>
  </si>
  <si>
    <t>M´M´S</t>
  </si>
  <si>
    <t>OREO</t>
  </si>
  <si>
    <t>REDVELVET</t>
  </si>
  <si>
    <t>CAJA DE MINI BROWNIES X8</t>
  </si>
  <si>
    <t>CAJA DEMINI BROWNIES X8</t>
  </si>
  <si>
    <t>CAJA DEMINI BROWNIES X16</t>
  </si>
  <si>
    <t>GALLETERIA</t>
  </si>
  <si>
    <t>BOLSALFA ALFAJOR PEQUEÑO</t>
  </si>
  <si>
    <t>BOLSAFA ALFAJOR PEQUEÑO</t>
  </si>
  <si>
    <t>CAJA OJITOS DE MERMELADA</t>
  </si>
  <si>
    <t>CAJA GALLETAS SURTIDAS</t>
  </si>
  <si>
    <t>CAJA DE MINIALFAJORES X16</t>
  </si>
  <si>
    <t>GALLETAS AVENA</t>
  </si>
  <si>
    <t>GALLETAS CHOCOLACHIPS</t>
  </si>
  <si>
    <t>BEBIDAS CALIENTES</t>
  </si>
  <si>
    <t>CAFÉ LATTE</t>
  </si>
  <si>
    <t xml:space="preserve">TOTAL CAFÉ
</t>
  </si>
  <si>
    <t>ICED LATTE</t>
  </si>
  <si>
    <t>CAPUCHINO</t>
  </si>
  <si>
    <t>AMERICANO</t>
  </si>
  <si>
    <t>AMERICANO DOBLE</t>
  </si>
  <si>
    <t>EXPRESSO</t>
  </si>
  <si>
    <t>MACCHIATO</t>
  </si>
  <si>
    <t>AFFOGATO</t>
  </si>
  <si>
    <t>TOTAL CAFÉ POR ALMACEN</t>
  </si>
  <si>
    <t>TOTAL VENTA CAFÉ POR ALMACEN</t>
  </si>
  <si>
    <t>AROMATICA DE FRUTAS</t>
  </si>
  <si>
    <t>AROMATICA HIERBABUENA</t>
  </si>
  <si>
    <t>MILO</t>
  </si>
  <si>
    <t>TE EN AGUA</t>
  </si>
  <si>
    <t>TE EN LECHE</t>
  </si>
  <si>
    <t>TE CHAÍ</t>
  </si>
  <si>
    <t>TE VAINILLA</t>
  </si>
  <si>
    <t>TE GOLDEN MILK</t>
  </si>
  <si>
    <t>TE MATCHA</t>
  </si>
  <si>
    <t>BLUE CHAI</t>
  </si>
  <si>
    <t>CHAI AMATISTA</t>
  </si>
  <si>
    <t>SODA DE FRUTOS ROJOS</t>
  </si>
  <si>
    <t>SODA DE MARACUYA</t>
  </si>
  <si>
    <t>SODA DE LULO</t>
  </si>
  <si>
    <t>20% CAPUCHINO MAS TORTA</t>
  </si>
  <si>
    <t>BEBIDAS FRIAS</t>
  </si>
  <si>
    <t>VASO DE LECHE</t>
  </si>
  <si>
    <t>VENTAS DE SEPTIEMBRE 18,19,20 DEL 2026</t>
  </si>
  <si>
    <t>TOTAL VENTAS</t>
  </si>
  <si>
    <t>V.T</t>
  </si>
  <si>
    <t xml:space="preserve">       VENTAS DIARIAS POR PRODUCTO DEL 21 DE SEPTIEMBRE DEL 2026</t>
  </si>
  <si>
    <t>VENTAS DE SEPTIEMBRE 21 DEL 2026</t>
  </si>
  <si>
    <t>TE MATCHA CHAÍ</t>
  </si>
  <si>
    <t xml:space="preserve"> </t>
  </si>
  <si>
    <t xml:space="preserve">       VENTAS DIARIAS POR PRODUCTO DEL 22 DE SEPTIEMBRE DEL 2026</t>
  </si>
  <si>
    <t>VENTAS DE SEPTIEMBRE 22 DEL 2026</t>
  </si>
  <si>
    <t>SENSACION DE OREO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</si>
</sst>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0"/>
      <color theme="1"/>
      <name val="Calibri"/>
      <family val="2"/>
      <scheme val="minor"/>
    </font>
    <font>
      <sz val="100"/>
      <color theme="1"/>
      <name val="Calibri"/>
      <family val="2"/>
      <scheme val="minor"/>
    </font>
    <font>
      <sz val="13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90"/>
      <color theme="1"/>
      <name val="Calibri"/>
      <family val="2"/>
      <scheme val="minor"/>
    </font>
    <font>
      <sz val="115"/>
      <color theme="1"/>
      <name val="Calibri"/>
      <family val="2"/>
      <scheme val="minor"/>
    </font>
    <font>
      <b/>
      <sz val="80"/>
      <color theme="1"/>
      <name val="Calibri"/>
      <family val="2"/>
      <scheme val="minor"/>
    </font>
    <font>
      <sz val="115"/>
      <name val="Calibri"/>
      <family val="2"/>
      <scheme val="minor"/>
    </font>
    <font>
      <b/>
      <sz val="115"/>
      <color theme="1"/>
      <name val="Calibri"/>
      <family val="2"/>
      <scheme val="minor"/>
    </font>
    <font>
      <b/>
      <u/>
      <sz val="115"/>
      <color theme="1"/>
      <name val="Calibri"/>
      <family val="2"/>
      <scheme val="minor"/>
    </font>
    <font>
      <sz val="112"/>
      <color theme="1"/>
      <name val="Calibri"/>
      <family val="2"/>
      <scheme val="minor"/>
    </font>
    <font>
      <sz val="90"/>
      <color theme="1"/>
      <name val="Calibri"/>
      <family val="2"/>
      <scheme val="minor"/>
    </font>
    <font>
      <b/>
      <sz val="120"/>
      <color theme="1"/>
      <name val="Calibri"/>
      <family val="2"/>
      <scheme val="minor"/>
    </font>
    <font>
      <sz val="120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sz val="20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4" xfId="0" applyFont="1" applyFill="1" applyBorder="1" applyAlignment="1">
      <alignment horizontal="center"/>
    </xf>
    <xf numFmtId="0" fontId="8" fillId="2" borderId="6" xfId="1" applyNumberFormat="1" applyFont="1" applyFill="1" applyBorder="1"/>
    <xf numFmtId="0" fontId="8" fillId="0" borderId="0" xfId="1" applyNumberFormat="1" applyFont="1" applyFill="1" applyBorder="1"/>
    <xf numFmtId="0" fontId="4" fillId="3" borderId="0" xfId="0" applyFont="1" applyFill="1"/>
    <xf numFmtId="0" fontId="6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3" borderId="0" xfId="0" applyFill="1"/>
    <xf numFmtId="0" fontId="9" fillId="3" borderId="6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left" vertical="top"/>
    </xf>
    <xf numFmtId="164" fontId="10" fillId="3" borderId="6" xfId="1" applyNumberFormat="1" applyFont="1" applyFill="1" applyBorder="1"/>
    <xf numFmtId="3" fontId="8" fillId="0" borderId="0" xfId="1" applyNumberFormat="1" applyFont="1" applyFill="1" applyBorder="1"/>
    <xf numFmtId="0" fontId="4" fillId="5" borderId="13" xfId="0" applyFont="1" applyFill="1" applyBorder="1" applyAlignment="1">
      <alignment horizontal="center" textRotation="90" wrapText="1"/>
    </xf>
    <xf numFmtId="0" fontId="8" fillId="3" borderId="4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textRotation="90" wrapText="1"/>
    </xf>
    <xf numFmtId="3" fontId="3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3" borderId="0" xfId="0" applyFill="1" applyAlignment="1">
      <alignment vertical="center"/>
    </xf>
    <xf numFmtId="0" fontId="11" fillId="5" borderId="6" xfId="0" applyFont="1" applyFill="1" applyBorder="1" applyAlignment="1">
      <alignment horizontal="center"/>
    </xf>
    <xf numFmtId="0" fontId="6" fillId="3" borderId="14" xfId="0" applyFont="1" applyFill="1" applyBorder="1" applyAlignment="1">
      <alignment vertical="top"/>
    </xf>
    <xf numFmtId="0" fontId="6" fillId="2" borderId="14" xfId="0" applyFont="1" applyFill="1" applyBorder="1" applyAlignment="1">
      <alignment vertical="center"/>
    </xf>
    <xf numFmtId="3" fontId="8" fillId="0" borderId="6" xfId="1" applyNumberFormat="1" applyFont="1" applyBorder="1"/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6" xfId="0" applyFont="1" applyFill="1" applyBorder="1"/>
    <xf numFmtId="0" fontId="10" fillId="3" borderId="6" xfId="0" applyFont="1" applyFill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43" fontId="8" fillId="3" borderId="0" xfId="1" applyFont="1" applyFill="1"/>
    <xf numFmtId="0" fontId="7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2" borderId="20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43" fontId="8" fillId="0" borderId="0" xfId="1" applyFont="1" applyFill="1"/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/>
    <xf numFmtId="0" fontId="9" fillId="2" borderId="21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6" borderId="0" xfId="0" applyFill="1"/>
    <xf numFmtId="0" fontId="9" fillId="6" borderId="6" xfId="0" applyFont="1" applyFill="1" applyBorder="1" applyAlignment="1">
      <alignment horizontal="left" vertical="top"/>
    </xf>
    <xf numFmtId="0" fontId="9" fillId="6" borderId="3" xfId="0" applyFont="1" applyFill="1" applyBorder="1" applyAlignment="1">
      <alignment horizontal="left" vertical="top"/>
    </xf>
    <xf numFmtId="0" fontId="5" fillId="6" borderId="0" xfId="0" applyFont="1" applyFill="1"/>
    <xf numFmtId="0" fontId="9" fillId="0" borderId="6" xfId="0" applyFont="1" applyBorder="1" applyAlignment="1">
      <alignment horizontal="left" vertical="top"/>
    </xf>
    <xf numFmtId="3" fontId="3" fillId="0" borderId="0" xfId="0" applyNumberFormat="1" applyFont="1"/>
    <xf numFmtId="0" fontId="4" fillId="3" borderId="12" xfId="0" applyFont="1" applyFill="1" applyBorder="1" applyAlignment="1">
      <alignment vertical="top" textRotation="90" wrapText="1"/>
    </xf>
    <xf numFmtId="0" fontId="4" fillId="3" borderId="13" xfId="0" applyFont="1" applyFill="1" applyBorder="1" applyAlignment="1">
      <alignment vertical="top" textRotation="90" wrapTex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3" fontId="8" fillId="0" borderId="0" xfId="1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6" fillId="3" borderId="12" xfId="0" applyFont="1" applyFill="1" applyBorder="1" applyAlignment="1">
      <alignment textRotation="90"/>
    </xf>
    <xf numFmtId="0" fontId="16" fillId="3" borderId="13" xfId="0" applyFont="1" applyFill="1" applyBorder="1" applyAlignment="1">
      <alignment textRotation="90"/>
    </xf>
    <xf numFmtId="0" fontId="7" fillId="2" borderId="6" xfId="0" applyFont="1" applyFill="1" applyBorder="1"/>
    <xf numFmtId="0" fontId="8" fillId="6" borderId="6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left" vertical="top"/>
    </xf>
    <xf numFmtId="0" fontId="9" fillId="6" borderId="14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9" fillId="2" borderId="6" xfId="0" applyFont="1" applyFill="1" applyBorder="1" applyAlignment="1">
      <alignment horizontal="left" vertical="top"/>
    </xf>
    <xf numFmtId="43" fontId="4" fillId="3" borderId="0" xfId="1" applyFont="1" applyFill="1"/>
    <xf numFmtId="43" fontId="8" fillId="0" borderId="0" xfId="1" applyFont="1"/>
    <xf numFmtId="43" fontId="4" fillId="0" borderId="0" xfId="1" applyFont="1"/>
    <xf numFmtId="43" fontId="4" fillId="0" borderId="0" xfId="1" applyFont="1" applyBorder="1"/>
    <xf numFmtId="43" fontId="8" fillId="0" borderId="0" xfId="1" applyFont="1" applyBorder="1"/>
    <xf numFmtId="0" fontId="4" fillId="3" borderId="0" xfId="0" applyFont="1" applyFill="1" applyAlignment="1">
      <alignment vertical="center" textRotation="90" wrapText="1"/>
    </xf>
    <xf numFmtId="0" fontId="3" fillId="0" borderId="0" xfId="0" applyFont="1" applyAlignment="1">
      <alignment vertical="center" textRotation="90" wrapText="1"/>
    </xf>
    <xf numFmtId="3" fontId="10" fillId="0" borderId="0" xfId="1" applyNumberFormat="1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center"/>
    </xf>
    <xf numFmtId="164" fontId="10" fillId="3" borderId="0" xfId="1" applyNumberFormat="1" applyFont="1" applyFill="1" applyBorder="1"/>
    <xf numFmtId="0" fontId="3" fillId="3" borderId="0" xfId="0" applyFont="1" applyFill="1"/>
    <xf numFmtId="164" fontId="10" fillId="0" borderId="0" xfId="1" applyNumberFormat="1" applyFont="1" applyFill="1" applyBorder="1"/>
    <xf numFmtId="0" fontId="15" fillId="0" borderId="0" xfId="0" applyFont="1" applyAlignment="1">
      <alignment horizontal="center"/>
    </xf>
    <xf numFmtId="0" fontId="8" fillId="0" borderId="0" xfId="1" applyNumberFormat="1" applyFont="1"/>
    <xf numFmtId="164" fontId="17" fillId="3" borderId="6" xfId="1" applyNumberFormat="1" applyFont="1" applyFill="1" applyBorder="1" applyAlignment="1">
      <alignment horizontal="center" vertical="center"/>
    </xf>
    <xf numFmtId="164" fontId="18" fillId="0" borderId="0" xfId="0" applyNumberFormat="1" applyFont="1" applyAlignment="1">
      <alignment horizontal="left"/>
    </xf>
    <xf numFmtId="0" fontId="8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/>
    <xf numFmtId="0" fontId="20" fillId="0" borderId="0" xfId="0" applyFont="1" applyAlignment="1">
      <alignment horizontal="center"/>
    </xf>
    <xf numFmtId="164" fontId="19" fillId="0" borderId="0" xfId="0" applyNumberFormat="1" applyFont="1"/>
    <xf numFmtId="0" fontId="19" fillId="0" borderId="0" xfId="0" applyFont="1"/>
    <xf numFmtId="3" fontId="6" fillId="7" borderId="3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/>
    </xf>
    <xf numFmtId="3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3" fontId="10" fillId="7" borderId="6" xfId="0" applyNumberFormat="1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3" fontId="6" fillId="7" borderId="4" xfId="0" applyNumberFormat="1" applyFont="1" applyFill="1" applyBorder="1" applyAlignment="1">
      <alignment horizontal="center"/>
    </xf>
    <xf numFmtId="3" fontId="6" fillId="7" borderId="6" xfId="0" applyNumberFormat="1" applyFont="1" applyFill="1" applyBorder="1" applyAlignment="1">
      <alignment horizontal="center"/>
    </xf>
    <xf numFmtId="3" fontId="9" fillId="7" borderId="6" xfId="0" applyNumberFormat="1" applyFont="1" applyFill="1" applyBorder="1" applyAlignment="1">
      <alignment horizontal="left" vertical="top"/>
    </xf>
    <xf numFmtId="3" fontId="8" fillId="7" borderId="4" xfId="0" applyNumberFormat="1" applyFont="1" applyFill="1" applyBorder="1" applyAlignment="1">
      <alignment horizontal="center"/>
    </xf>
    <xf numFmtId="3" fontId="11" fillId="7" borderId="4" xfId="0" applyNumberFormat="1" applyFont="1" applyFill="1" applyBorder="1" applyAlignment="1">
      <alignment horizontal="center"/>
    </xf>
    <xf numFmtId="3" fontId="8" fillId="7" borderId="4" xfId="0" applyNumberFormat="1" applyFont="1" applyFill="1" applyBorder="1" applyAlignment="1">
      <alignment horizontal="right"/>
    </xf>
    <xf numFmtId="3" fontId="17" fillId="7" borderId="4" xfId="1" applyNumberFormat="1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/>
    </xf>
    <xf numFmtId="0" fontId="9" fillId="3" borderId="4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8" fillId="3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164" fontId="18" fillId="0" borderId="4" xfId="0" applyNumberFormat="1" applyFont="1" applyBorder="1" applyAlignment="1">
      <alignment horizontal="left"/>
    </xf>
    <xf numFmtId="164" fontId="18" fillId="0" borderId="22" xfId="0" applyNumberFormat="1" applyFont="1" applyBorder="1" applyAlignment="1">
      <alignment horizontal="left"/>
    </xf>
    <xf numFmtId="164" fontId="18" fillId="0" borderId="5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164" fontId="17" fillId="3" borderId="4" xfId="1" applyNumberFormat="1" applyFont="1" applyFill="1" applyBorder="1" applyAlignment="1">
      <alignment horizontal="center" vertical="center"/>
    </xf>
    <xf numFmtId="164" fontId="17" fillId="3" borderId="5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6" fillId="2" borderId="2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textRotation="90" wrapText="1"/>
    </xf>
    <xf numFmtId="0" fontId="4" fillId="3" borderId="13" xfId="0" applyFont="1" applyFill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3" fontId="4" fillId="3" borderId="12" xfId="0" applyNumberFormat="1" applyFont="1" applyFill="1" applyBorder="1" applyAlignment="1">
      <alignment horizontal="left" textRotation="90" wrapText="1"/>
    </xf>
    <xf numFmtId="0" fontId="4" fillId="3" borderId="13" xfId="0" applyFont="1" applyFill="1" applyBorder="1" applyAlignment="1">
      <alignment horizontal="left" textRotation="90" wrapText="1"/>
    </xf>
    <xf numFmtId="0" fontId="4" fillId="3" borderId="12" xfId="0" applyFont="1" applyFill="1" applyBorder="1" applyAlignment="1">
      <alignment horizontal="left" textRotation="90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16" fillId="3" borderId="12" xfId="0" applyFont="1" applyFill="1" applyBorder="1" applyAlignment="1">
      <alignment horizontal="center" textRotation="90"/>
    </xf>
    <xf numFmtId="0" fontId="16" fillId="3" borderId="13" xfId="0" applyFont="1" applyFill="1" applyBorder="1" applyAlignment="1">
      <alignment horizontal="center" textRotation="90"/>
    </xf>
    <xf numFmtId="3" fontId="13" fillId="0" borderId="17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3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3" fontId="15" fillId="3" borderId="9" xfId="0" applyNumberFormat="1" applyFont="1" applyFill="1" applyBorder="1" applyAlignment="1">
      <alignment horizontal="center" textRotation="90"/>
    </xf>
    <xf numFmtId="3" fontId="15" fillId="3" borderId="11" xfId="0" applyNumberFormat="1" applyFont="1" applyFill="1" applyBorder="1" applyAlignment="1">
      <alignment horizontal="center" textRotation="90"/>
    </xf>
    <xf numFmtId="3" fontId="15" fillId="3" borderId="12" xfId="0" applyNumberFormat="1" applyFont="1" applyFill="1" applyBorder="1" applyAlignment="1">
      <alignment horizontal="center" textRotation="90"/>
    </xf>
    <xf numFmtId="3" fontId="15" fillId="3" borderId="13" xfId="0" applyNumberFormat="1" applyFont="1" applyFill="1" applyBorder="1" applyAlignment="1">
      <alignment horizontal="center" textRotation="90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5" borderId="12" xfId="0" applyFont="1" applyFill="1" applyBorder="1" applyAlignment="1">
      <alignment horizontal="center" vertical="top" textRotation="90" wrapText="1"/>
    </xf>
    <xf numFmtId="0" fontId="4" fillId="5" borderId="13" xfId="0" applyFont="1" applyFill="1" applyBorder="1" applyAlignment="1">
      <alignment horizontal="center" vertical="top" textRotation="90" wrapText="1"/>
    </xf>
    <xf numFmtId="0" fontId="4" fillId="5" borderId="0" xfId="0" applyFont="1" applyFill="1" applyAlignment="1">
      <alignment horizontal="center" vertical="top" textRotation="90" wrapText="1"/>
    </xf>
    <xf numFmtId="3" fontId="13" fillId="0" borderId="18" xfId="0" applyNumberFormat="1" applyFont="1" applyBorder="1" applyAlignment="1">
      <alignment horizontal="center"/>
    </xf>
    <xf numFmtId="3" fontId="13" fillId="0" borderId="19" xfId="0" applyNumberFormat="1" applyFont="1" applyBorder="1" applyAlignment="1">
      <alignment horizontal="center"/>
    </xf>
    <xf numFmtId="3" fontId="4" fillId="5" borderId="12" xfId="0" applyNumberFormat="1" applyFont="1" applyFill="1" applyBorder="1" applyAlignment="1">
      <alignment horizontal="center" textRotation="90" wrapText="1"/>
    </xf>
    <xf numFmtId="0" fontId="4" fillId="5" borderId="13" xfId="0" applyFont="1" applyFill="1" applyBorder="1" applyAlignment="1">
      <alignment horizontal="center" textRotation="90" wrapText="1"/>
    </xf>
    <xf numFmtId="0" fontId="4" fillId="5" borderId="12" xfId="0" applyFont="1" applyFill="1" applyBorder="1" applyAlignment="1">
      <alignment horizontal="center" textRotation="90" wrapText="1"/>
    </xf>
    <xf numFmtId="0" fontId="9" fillId="4" borderId="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12411989</xdr:colOff>
      <xdr:row>91</xdr:row>
      <xdr:rowOff>0</xdr:rowOff>
    </xdr:from>
    <xdr:to>
      <xdr:col>28</xdr:col>
      <xdr:colOff>13317798</xdr:colOff>
      <xdr:row>91</xdr:row>
      <xdr:rowOff>1209056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C4A6E534-85EE-4089-A01B-E4FAA7F11D63}"/>
            </a:ext>
          </a:extLst>
        </xdr:cNvPr>
        <xdr:cNvSpPr/>
      </xdr:nvSpPr>
      <xdr:spPr>
        <a:xfrm>
          <a:off x="135589289" y="131978400"/>
          <a:ext cx="934" cy="120905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322CFEDB-7CF0-469D-902E-2D04439E0753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14FD97A-0F8A-4DC5-A7EA-A4167D2848E9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E08E9A43-9CEC-44CD-94AC-225821B68236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9FD29B5-9F88-4983-952D-8BEE16E0E63D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2D448D3B-BD24-437F-A3B6-AC3DA621E8FE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55D37BC-3E01-426D-A10A-A885E465D646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5F41BC74-16A7-46BF-A475-562D66466856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3573529-AF2A-4360-BBDE-B1DA7CECC3EE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13DC1332-67A1-4BD1-B363-8C7537C06EFA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D54287F-2DDC-47E9-B65E-EDC095298F09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BF86678C-0499-43F9-BEEC-AD0792D205CB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3F078B5-EF9E-4454-9813-E0C7E925775C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7B8AD47D-AED8-4664-865F-7548E2A8AF58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92C35514-3EDF-4FB1-A1FE-0DB052D23262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17" name="Cerrar llave 16">
          <a:extLst>
            <a:ext uri="{FF2B5EF4-FFF2-40B4-BE49-F238E27FC236}">
              <a16:creationId xmlns:a16="http://schemas.microsoft.com/office/drawing/2014/main" id="{28505E6F-A08B-4B25-9468-D3395C12CDE5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CECF53B-5051-4312-80CA-48CC2B1DD01D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19" name="Cerrar llave 18">
          <a:extLst>
            <a:ext uri="{FF2B5EF4-FFF2-40B4-BE49-F238E27FC236}">
              <a16:creationId xmlns:a16="http://schemas.microsoft.com/office/drawing/2014/main" id="{F77FB80E-E159-43FF-BA25-4A33D580769F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CCCDBC5A-E776-4DF7-ACB9-647493665307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2A1149D2-71B5-435D-B691-22A33463E4D0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A3D9F08-0187-4B0E-AB9F-AEBAB0F2D3E8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DF51B1E9-C17F-49A3-8549-C1DE649A9807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9693AAC4-7D6B-4170-B508-563DB1FF5112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25" name="Cerrar llave 24">
          <a:extLst>
            <a:ext uri="{FF2B5EF4-FFF2-40B4-BE49-F238E27FC236}">
              <a16:creationId xmlns:a16="http://schemas.microsoft.com/office/drawing/2014/main" id="{2CB1AEFF-ACA5-4C74-90E0-2D0C7541CED8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D86211FF-DC68-429A-8AFA-4CD7B6B4AABD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27" name="Cerrar llave 26">
          <a:extLst>
            <a:ext uri="{FF2B5EF4-FFF2-40B4-BE49-F238E27FC236}">
              <a16:creationId xmlns:a16="http://schemas.microsoft.com/office/drawing/2014/main" id="{33E539F6-4CE6-478A-A5D5-C5F21CFDA63F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CD2F5D26-5097-495E-BED1-B512B50512E9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29" name="Cerrar llave 28">
          <a:extLst>
            <a:ext uri="{FF2B5EF4-FFF2-40B4-BE49-F238E27FC236}">
              <a16:creationId xmlns:a16="http://schemas.microsoft.com/office/drawing/2014/main" id="{2831D607-DB02-4ED0-A9A1-B905459B2B31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94CEFF1-ACCA-4AF9-AAD8-3E3A0F41690A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31" name="Cerrar llave 30">
          <a:extLst>
            <a:ext uri="{FF2B5EF4-FFF2-40B4-BE49-F238E27FC236}">
              <a16:creationId xmlns:a16="http://schemas.microsoft.com/office/drawing/2014/main" id="{0EC40B14-020B-4908-A8A3-8CCB57CFF38D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BFE19B56-94C0-4BDF-B634-7B11CDEBEEB0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33" name="Cerrar llave 32">
          <a:extLst>
            <a:ext uri="{FF2B5EF4-FFF2-40B4-BE49-F238E27FC236}">
              <a16:creationId xmlns:a16="http://schemas.microsoft.com/office/drawing/2014/main" id="{EAA70FCB-EC4B-4BEE-AA55-134A65D0267B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C28B0730-725D-4AEE-9758-3ABC851EC9C4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35" name="Cerrar llave 34">
          <a:extLst>
            <a:ext uri="{FF2B5EF4-FFF2-40B4-BE49-F238E27FC236}">
              <a16:creationId xmlns:a16="http://schemas.microsoft.com/office/drawing/2014/main" id="{A5551283-3CB3-4DA4-A61C-984E0875A373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E47DE597-8A09-4E9B-A89B-96E6EDDB9729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37" name="Cerrar llave 36">
          <a:extLst>
            <a:ext uri="{FF2B5EF4-FFF2-40B4-BE49-F238E27FC236}">
              <a16:creationId xmlns:a16="http://schemas.microsoft.com/office/drawing/2014/main" id="{F04914B5-C948-4DC6-B41E-334F9344E8E6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8E565ED4-3962-492B-971B-2B910A95550A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39" name="Cerrar llave 38">
          <a:extLst>
            <a:ext uri="{FF2B5EF4-FFF2-40B4-BE49-F238E27FC236}">
              <a16:creationId xmlns:a16="http://schemas.microsoft.com/office/drawing/2014/main" id="{A7ADC333-3002-4E7E-BD1B-195325DA73DB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4DD660-F586-4462-A00D-8483271AB1E8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41" name="Cerrar llave 40">
          <a:extLst>
            <a:ext uri="{FF2B5EF4-FFF2-40B4-BE49-F238E27FC236}">
              <a16:creationId xmlns:a16="http://schemas.microsoft.com/office/drawing/2014/main" id="{1C382874-CA63-4CA5-A4D3-ABB38F8BA617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4038E89-ABC4-4F0D-B7EA-D98FA80B9DC3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43" name="Cerrar llave 42">
          <a:extLst>
            <a:ext uri="{FF2B5EF4-FFF2-40B4-BE49-F238E27FC236}">
              <a16:creationId xmlns:a16="http://schemas.microsoft.com/office/drawing/2014/main" id="{51E021FF-7805-4F41-951E-F511D932A8B9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CF63CE0B-221C-435E-BF50-40AFD7D05060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45" name="Cerrar llave 44">
          <a:extLst>
            <a:ext uri="{FF2B5EF4-FFF2-40B4-BE49-F238E27FC236}">
              <a16:creationId xmlns:a16="http://schemas.microsoft.com/office/drawing/2014/main" id="{476C069B-38D8-4FEB-A647-B22022011D9F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AA029805-2F24-4C89-98E7-DF1A609872FD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47" name="Cerrar llave 46">
          <a:extLst>
            <a:ext uri="{FF2B5EF4-FFF2-40B4-BE49-F238E27FC236}">
              <a16:creationId xmlns:a16="http://schemas.microsoft.com/office/drawing/2014/main" id="{E541ADDB-41D2-4CBD-B03F-123E85A3113E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AB023BC1-5033-4027-ADA7-019E7D6B1368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49" name="Cerrar llave 48">
          <a:extLst>
            <a:ext uri="{FF2B5EF4-FFF2-40B4-BE49-F238E27FC236}">
              <a16:creationId xmlns:a16="http://schemas.microsoft.com/office/drawing/2014/main" id="{92FE7245-25F3-4E2B-8AEF-98172A755DFA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7112572A-4F66-434F-ABAE-644768AE4ECF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51" name="Cerrar llave 50">
          <a:extLst>
            <a:ext uri="{FF2B5EF4-FFF2-40B4-BE49-F238E27FC236}">
              <a16:creationId xmlns:a16="http://schemas.microsoft.com/office/drawing/2014/main" id="{B84F7B85-CF3A-4D4F-82AC-173975CFC9BF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A5ED179-E599-491C-8E84-29BD2DD4A12A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53" name="Cerrar llave 52">
          <a:extLst>
            <a:ext uri="{FF2B5EF4-FFF2-40B4-BE49-F238E27FC236}">
              <a16:creationId xmlns:a16="http://schemas.microsoft.com/office/drawing/2014/main" id="{5FF63867-9861-45F8-AA62-2C52129124DB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D3F1AE5D-EC83-437B-841D-28DEEDF6C07B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55" name="Cerrar llave 54">
          <a:extLst>
            <a:ext uri="{FF2B5EF4-FFF2-40B4-BE49-F238E27FC236}">
              <a16:creationId xmlns:a16="http://schemas.microsoft.com/office/drawing/2014/main" id="{59574627-0F6A-4C33-B7EE-06BEF712242D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5F2160EF-2E7C-4A58-B515-984473E4958A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57" name="Cerrar llave 56">
          <a:extLst>
            <a:ext uri="{FF2B5EF4-FFF2-40B4-BE49-F238E27FC236}">
              <a16:creationId xmlns:a16="http://schemas.microsoft.com/office/drawing/2014/main" id="{C040B278-384D-4696-9E37-8C8CFBE1F55F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401A2523-AABE-459A-99EF-3588BE4BF365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59" name="Cerrar llave 58">
          <a:extLst>
            <a:ext uri="{FF2B5EF4-FFF2-40B4-BE49-F238E27FC236}">
              <a16:creationId xmlns:a16="http://schemas.microsoft.com/office/drawing/2014/main" id="{6C04E910-1346-4CA6-BA55-1F008E2D85ED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BA252372-18E9-467B-8BFC-4DCA1C2D35EE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61" name="Cerrar llave 60">
          <a:extLst>
            <a:ext uri="{FF2B5EF4-FFF2-40B4-BE49-F238E27FC236}">
              <a16:creationId xmlns:a16="http://schemas.microsoft.com/office/drawing/2014/main" id="{012E5DA0-8A04-4E66-84F0-4E10086F262E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5592B467-E7C1-4A92-BC81-60485C3F786F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63" name="Cerrar llave 62">
          <a:extLst>
            <a:ext uri="{FF2B5EF4-FFF2-40B4-BE49-F238E27FC236}">
              <a16:creationId xmlns:a16="http://schemas.microsoft.com/office/drawing/2014/main" id="{D8DA2F59-A264-4C23-9D8F-C4DCC6E18379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EEB0E0F2-2F89-4FEA-A790-E437184285DE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65" name="Cerrar llave 64">
          <a:extLst>
            <a:ext uri="{FF2B5EF4-FFF2-40B4-BE49-F238E27FC236}">
              <a16:creationId xmlns:a16="http://schemas.microsoft.com/office/drawing/2014/main" id="{C134AC4B-3DCA-4C67-B849-32CB50B84D5A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3F70C4E7-F4D8-4D20-9489-EF6AA59BDF8C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67" name="Cerrar llave 66">
          <a:extLst>
            <a:ext uri="{FF2B5EF4-FFF2-40B4-BE49-F238E27FC236}">
              <a16:creationId xmlns:a16="http://schemas.microsoft.com/office/drawing/2014/main" id="{94D2859E-7679-4721-9F61-D7FAAD78CB2E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C475941F-E2D7-404F-BB00-1925C06FC1A6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69" name="Cerrar llave 68">
          <a:extLst>
            <a:ext uri="{FF2B5EF4-FFF2-40B4-BE49-F238E27FC236}">
              <a16:creationId xmlns:a16="http://schemas.microsoft.com/office/drawing/2014/main" id="{D59868FC-3CC4-4EC4-952D-AC8023950B60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ED4660CE-2144-442E-A683-A07008A386D1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71" name="Cerrar llave 70">
          <a:extLst>
            <a:ext uri="{FF2B5EF4-FFF2-40B4-BE49-F238E27FC236}">
              <a16:creationId xmlns:a16="http://schemas.microsoft.com/office/drawing/2014/main" id="{3C4C69E9-C6BB-4724-98BF-6E7065145376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D23FD615-8950-4F71-AD65-A2EE6B975DFD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119</xdr:row>
      <xdr:rowOff>0</xdr:rowOff>
    </xdr:to>
    <xdr:sp macro="" textlink="">
      <xdr:nvSpPr>
        <xdr:cNvPr id="73" name="Cerrar llave 72">
          <a:extLst>
            <a:ext uri="{FF2B5EF4-FFF2-40B4-BE49-F238E27FC236}">
              <a16:creationId xmlns:a16="http://schemas.microsoft.com/office/drawing/2014/main" id="{BDE25EFF-B5EE-4A34-BE3C-7F5641E667F0}"/>
            </a:ext>
          </a:extLst>
        </xdr:cNvPr>
        <xdr:cNvSpPr/>
      </xdr:nvSpPr>
      <xdr:spPr>
        <a:xfrm>
          <a:off x="135588561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118</xdr:row>
      <xdr:rowOff>1607068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1362936A-9334-4735-A5C5-CC7CF6E56F61}"/>
            </a:ext>
          </a:extLst>
        </xdr:cNvPr>
        <xdr:cNvSpPr txBox="1"/>
      </xdr:nvSpPr>
      <xdr:spPr>
        <a:xfrm>
          <a:off x="135590026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75" name="Cerrar llave 74">
          <a:extLst>
            <a:ext uri="{FF2B5EF4-FFF2-40B4-BE49-F238E27FC236}">
              <a16:creationId xmlns:a16="http://schemas.microsoft.com/office/drawing/2014/main" id="{E263E42B-2264-4E15-96FF-6456CE55BC5F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016C8EC8-F87F-4815-9E85-4E6E4ED652B4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77" name="Cerrar llave 76">
          <a:extLst>
            <a:ext uri="{FF2B5EF4-FFF2-40B4-BE49-F238E27FC236}">
              <a16:creationId xmlns:a16="http://schemas.microsoft.com/office/drawing/2014/main" id="{07CB62BF-2C14-479F-BF84-33B98DEC87E0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39CBE859-9811-45B2-96B9-6355A1377A79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79" name="Cerrar llave 78">
          <a:extLst>
            <a:ext uri="{FF2B5EF4-FFF2-40B4-BE49-F238E27FC236}">
              <a16:creationId xmlns:a16="http://schemas.microsoft.com/office/drawing/2014/main" id="{82C94AE0-6F10-4341-8EC0-19A496FE38A2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78111266-9A51-4493-9307-9F58952C4C99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81" name="Cerrar llave 80">
          <a:extLst>
            <a:ext uri="{FF2B5EF4-FFF2-40B4-BE49-F238E27FC236}">
              <a16:creationId xmlns:a16="http://schemas.microsoft.com/office/drawing/2014/main" id="{FCD20E4C-3355-40C6-9841-37024337651C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159DE137-640E-40A8-BA1C-17AE0A0A0AE2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83" name="Cerrar llave 82">
          <a:extLst>
            <a:ext uri="{FF2B5EF4-FFF2-40B4-BE49-F238E27FC236}">
              <a16:creationId xmlns:a16="http://schemas.microsoft.com/office/drawing/2014/main" id="{BD1F0680-11F9-4229-93C0-B22D10E2D3AB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811F05B8-CC37-4960-BB94-446DC906437E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85" name="Cerrar llave 84">
          <a:extLst>
            <a:ext uri="{FF2B5EF4-FFF2-40B4-BE49-F238E27FC236}">
              <a16:creationId xmlns:a16="http://schemas.microsoft.com/office/drawing/2014/main" id="{BB91C7E4-A084-4855-951B-3A5ED48C3C2F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EB3E5F9F-161A-4E7C-87FD-D453FA1D8D1A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87" name="Cerrar llave 86">
          <a:extLst>
            <a:ext uri="{FF2B5EF4-FFF2-40B4-BE49-F238E27FC236}">
              <a16:creationId xmlns:a16="http://schemas.microsoft.com/office/drawing/2014/main" id="{E9390E76-9B3C-4F0B-9AFA-67312A73D590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82AC7068-DEC0-4609-8B02-B673F5E246BD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89" name="Cerrar llave 88">
          <a:extLst>
            <a:ext uri="{FF2B5EF4-FFF2-40B4-BE49-F238E27FC236}">
              <a16:creationId xmlns:a16="http://schemas.microsoft.com/office/drawing/2014/main" id="{923D85D2-7243-4E3B-92DF-045F16A09CD5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E04E4B3F-F963-4E55-B546-13F5993453CA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91" name="Cerrar llave 90">
          <a:extLst>
            <a:ext uri="{FF2B5EF4-FFF2-40B4-BE49-F238E27FC236}">
              <a16:creationId xmlns:a16="http://schemas.microsoft.com/office/drawing/2014/main" id="{83952A8E-1B12-4E79-A9E2-96EA29710E56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7D698911-F546-48DB-8BFC-E2333CBC6F16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93" name="Cerrar llave 92">
          <a:extLst>
            <a:ext uri="{FF2B5EF4-FFF2-40B4-BE49-F238E27FC236}">
              <a16:creationId xmlns:a16="http://schemas.microsoft.com/office/drawing/2014/main" id="{C5B0A6BE-22A2-4F95-9185-B91DE9C07387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8D4E80F6-C567-4CB6-9CE3-AA7E3EEDF6B4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95" name="Cerrar llave 94">
          <a:extLst>
            <a:ext uri="{FF2B5EF4-FFF2-40B4-BE49-F238E27FC236}">
              <a16:creationId xmlns:a16="http://schemas.microsoft.com/office/drawing/2014/main" id="{667D1573-1A75-44E6-B0EC-6825DEEECFA0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8C9DA91B-736F-4589-891A-B2FB90EC9611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97" name="Cerrar llave 96">
          <a:extLst>
            <a:ext uri="{FF2B5EF4-FFF2-40B4-BE49-F238E27FC236}">
              <a16:creationId xmlns:a16="http://schemas.microsoft.com/office/drawing/2014/main" id="{3C94C363-E120-4C96-A956-52CB0C6439F7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EE545302-9BC1-4ADE-87A6-5C80785AFA1C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99" name="Cerrar llave 98">
          <a:extLst>
            <a:ext uri="{FF2B5EF4-FFF2-40B4-BE49-F238E27FC236}">
              <a16:creationId xmlns:a16="http://schemas.microsoft.com/office/drawing/2014/main" id="{D9123669-0D41-46E8-B71A-B8FEE559A208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4136BE53-3D8F-4C25-A58C-D164527492A3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101" name="Cerrar llave 100">
          <a:extLst>
            <a:ext uri="{FF2B5EF4-FFF2-40B4-BE49-F238E27FC236}">
              <a16:creationId xmlns:a16="http://schemas.microsoft.com/office/drawing/2014/main" id="{F8AA131E-8008-46FF-A710-A0CA60AED7E0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2FB52F6A-76DA-4476-ABF0-A23B871FBC92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103" name="Cerrar llave 102">
          <a:extLst>
            <a:ext uri="{FF2B5EF4-FFF2-40B4-BE49-F238E27FC236}">
              <a16:creationId xmlns:a16="http://schemas.microsoft.com/office/drawing/2014/main" id="{FB09AB40-9157-4362-8353-14668428EE06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E0B91894-DA8F-40F7-A259-3D5A9A900721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105" name="Cerrar llave 104">
          <a:extLst>
            <a:ext uri="{FF2B5EF4-FFF2-40B4-BE49-F238E27FC236}">
              <a16:creationId xmlns:a16="http://schemas.microsoft.com/office/drawing/2014/main" id="{761A7ADD-0E25-4551-884C-765C34CE75C9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2505961C-0363-4C24-B903-610876F0E07D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107" name="Cerrar llave 106">
          <a:extLst>
            <a:ext uri="{FF2B5EF4-FFF2-40B4-BE49-F238E27FC236}">
              <a16:creationId xmlns:a16="http://schemas.microsoft.com/office/drawing/2014/main" id="{12099F66-8D27-4511-AF7B-ADE897E4F78A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9E124941-5317-450E-9482-F90FFF1DB8E1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113</xdr:row>
      <xdr:rowOff>513602</xdr:rowOff>
    </xdr:from>
    <xdr:to>
      <xdr:col>28</xdr:col>
      <xdr:colOff>14721728</xdr:colOff>
      <xdr:row>131</xdr:row>
      <xdr:rowOff>0</xdr:rowOff>
    </xdr:to>
    <xdr:sp macro="" textlink="">
      <xdr:nvSpPr>
        <xdr:cNvPr id="109" name="Cerrar llave 108">
          <a:extLst>
            <a:ext uri="{FF2B5EF4-FFF2-40B4-BE49-F238E27FC236}">
              <a16:creationId xmlns:a16="http://schemas.microsoft.com/office/drawing/2014/main" id="{F1C9DC80-EB6D-4ADD-90C6-D3127B015033}"/>
            </a:ext>
          </a:extLst>
        </xdr:cNvPr>
        <xdr:cNvSpPr/>
      </xdr:nvSpPr>
      <xdr:spPr>
        <a:xfrm>
          <a:off x="135588561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113</xdr:row>
      <xdr:rowOff>1801435</xdr:rowOff>
    </xdr:from>
    <xdr:to>
      <xdr:col>28</xdr:col>
      <xdr:colOff>16584706</xdr:colOff>
      <xdr:row>130</xdr:row>
      <xdr:rowOff>1607068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E816B90A-56E3-4C6D-B32B-2D3658EBE616}"/>
            </a:ext>
          </a:extLst>
        </xdr:cNvPr>
        <xdr:cNvSpPr txBox="1"/>
      </xdr:nvSpPr>
      <xdr:spPr>
        <a:xfrm>
          <a:off x="135590026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1" name="Cerrar llave 110">
          <a:extLst>
            <a:ext uri="{FF2B5EF4-FFF2-40B4-BE49-F238E27FC236}">
              <a16:creationId xmlns:a16="http://schemas.microsoft.com/office/drawing/2014/main" id="{EE5BA5EC-6ADB-4FF3-B33A-AA6CE68DE1D6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B2B042E6-AC4D-4999-A44B-80FF48850783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3" name="Cerrar llave 112">
          <a:extLst>
            <a:ext uri="{FF2B5EF4-FFF2-40B4-BE49-F238E27FC236}">
              <a16:creationId xmlns:a16="http://schemas.microsoft.com/office/drawing/2014/main" id="{C8D637DC-693A-493E-887E-8567A22D8E56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8F30CF49-76A5-4D00-8410-4E117F42E271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5" name="Cerrar llave 114">
          <a:extLst>
            <a:ext uri="{FF2B5EF4-FFF2-40B4-BE49-F238E27FC236}">
              <a16:creationId xmlns:a16="http://schemas.microsoft.com/office/drawing/2014/main" id="{1E88F20A-FC53-4898-AB4D-B568905C8D60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57CF74DD-AD17-4E97-9AB2-1DC8D1F1AF12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7" name="Cerrar llave 116">
          <a:extLst>
            <a:ext uri="{FF2B5EF4-FFF2-40B4-BE49-F238E27FC236}">
              <a16:creationId xmlns:a16="http://schemas.microsoft.com/office/drawing/2014/main" id="{882F588F-B5B9-4B17-957F-0EF842A74F12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47226BF1-935D-4BC9-8416-F025FD95CE49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19" name="Cerrar llave 118">
          <a:extLst>
            <a:ext uri="{FF2B5EF4-FFF2-40B4-BE49-F238E27FC236}">
              <a16:creationId xmlns:a16="http://schemas.microsoft.com/office/drawing/2014/main" id="{0217C92A-586B-490F-B7A3-6C6FEE53E57D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0A9FF482-EC05-4C08-91BA-AAF1BE407E1A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28</xdr:col>
      <xdr:colOff>14040036</xdr:colOff>
      <xdr:row>92</xdr:row>
      <xdr:rowOff>513602</xdr:rowOff>
    </xdr:from>
    <xdr:to>
      <xdr:col>28</xdr:col>
      <xdr:colOff>14721728</xdr:colOff>
      <xdr:row>94</xdr:row>
      <xdr:rowOff>0</xdr:rowOff>
    </xdr:to>
    <xdr:sp macro="" textlink="">
      <xdr:nvSpPr>
        <xdr:cNvPr id="121" name="Cerrar llave 120">
          <a:extLst>
            <a:ext uri="{FF2B5EF4-FFF2-40B4-BE49-F238E27FC236}">
              <a16:creationId xmlns:a16="http://schemas.microsoft.com/office/drawing/2014/main" id="{08CDA6D8-D0D8-4BDC-92F3-2C2189D3615F}"/>
            </a:ext>
          </a:extLst>
        </xdr:cNvPr>
        <xdr:cNvSpPr/>
      </xdr:nvSpPr>
      <xdr:spPr>
        <a:xfrm>
          <a:off x="135588561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92</xdr:row>
      <xdr:rowOff>1801435</xdr:rowOff>
    </xdr:from>
    <xdr:to>
      <xdr:col>28</xdr:col>
      <xdr:colOff>16584706</xdr:colOff>
      <xdr:row>93</xdr:row>
      <xdr:rowOff>1607068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B8D6D56A-2424-4BA5-8D7E-5A1A37E0A991}"/>
            </a:ext>
          </a:extLst>
        </xdr:cNvPr>
        <xdr:cNvSpPr txBox="1"/>
      </xdr:nvSpPr>
      <xdr:spPr>
        <a:xfrm>
          <a:off x="135590026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23" name="Cerrar llave 122">
          <a:extLst>
            <a:ext uri="{FF2B5EF4-FFF2-40B4-BE49-F238E27FC236}">
              <a16:creationId xmlns:a16="http://schemas.microsoft.com/office/drawing/2014/main" id="{6B5DAB0F-6E82-44BE-B423-29A72E07D636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D403E2EC-9CF3-418F-AEF1-217562540355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25" name="Cerrar llave 124">
          <a:extLst>
            <a:ext uri="{FF2B5EF4-FFF2-40B4-BE49-F238E27FC236}">
              <a16:creationId xmlns:a16="http://schemas.microsoft.com/office/drawing/2014/main" id="{712EDD30-084E-44F5-A3DF-0D3988DA8DD5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CF2F1552-1554-42DF-8439-3C92C49044C9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27" name="Cerrar llave 126">
          <a:extLst>
            <a:ext uri="{FF2B5EF4-FFF2-40B4-BE49-F238E27FC236}">
              <a16:creationId xmlns:a16="http://schemas.microsoft.com/office/drawing/2014/main" id="{270B88F8-FF2C-4603-983C-61D637B5D1B7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33DF470D-B7F6-4B5F-A44C-6F0979D214BC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29" name="Cerrar llave 128">
          <a:extLst>
            <a:ext uri="{FF2B5EF4-FFF2-40B4-BE49-F238E27FC236}">
              <a16:creationId xmlns:a16="http://schemas.microsoft.com/office/drawing/2014/main" id="{24FA5105-7525-4405-9480-33A062789BA1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4FB150CB-D25A-4198-8341-7DD9B0832984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31" name="Cerrar llave 130">
          <a:extLst>
            <a:ext uri="{FF2B5EF4-FFF2-40B4-BE49-F238E27FC236}">
              <a16:creationId xmlns:a16="http://schemas.microsoft.com/office/drawing/2014/main" id="{46663831-4069-4A6A-9617-4D2C17017E74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EFC0F337-309B-4CE8-8D0D-6D604D7E6DEC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33" name="Cerrar llave 132">
          <a:extLst>
            <a:ext uri="{FF2B5EF4-FFF2-40B4-BE49-F238E27FC236}">
              <a16:creationId xmlns:a16="http://schemas.microsoft.com/office/drawing/2014/main" id="{E3280C68-5651-4899-AF51-EDFBA46F7B7D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E0BDF802-4A01-411A-8C36-2F37AFB306A3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35" name="Cerrar llave 134">
          <a:extLst>
            <a:ext uri="{FF2B5EF4-FFF2-40B4-BE49-F238E27FC236}">
              <a16:creationId xmlns:a16="http://schemas.microsoft.com/office/drawing/2014/main" id="{D6856E99-32C8-4ADB-8CD9-BBAD79DC547A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1AB9785B-F05C-4A0C-9EEB-E33842D6D408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37" name="Cerrar llave 136">
          <a:extLst>
            <a:ext uri="{FF2B5EF4-FFF2-40B4-BE49-F238E27FC236}">
              <a16:creationId xmlns:a16="http://schemas.microsoft.com/office/drawing/2014/main" id="{B2B82431-E84C-47A6-8CBB-AA9AE4E95076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D2826254-D3E8-4CC7-AFE5-F17FE47F39D0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39" name="Cerrar llave 138">
          <a:extLst>
            <a:ext uri="{FF2B5EF4-FFF2-40B4-BE49-F238E27FC236}">
              <a16:creationId xmlns:a16="http://schemas.microsoft.com/office/drawing/2014/main" id="{1609CA78-61BA-4AFF-AFBA-AD62F165F629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C5D73B59-CCFE-46E2-8D34-80E56C90FB45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41" name="Cerrar llave 140">
          <a:extLst>
            <a:ext uri="{FF2B5EF4-FFF2-40B4-BE49-F238E27FC236}">
              <a16:creationId xmlns:a16="http://schemas.microsoft.com/office/drawing/2014/main" id="{6E57D166-9BC5-48C7-8F29-B953A6264847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0421CD55-A2E3-48AF-B29E-6DA9976D2ED1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43" name="Cerrar llave 142">
          <a:extLst>
            <a:ext uri="{FF2B5EF4-FFF2-40B4-BE49-F238E27FC236}">
              <a16:creationId xmlns:a16="http://schemas.microsoft.com/office/drawing/2014/main" id="{6515E9E3-23C9-468D-BFDA-A6BF8DAB50E1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A3B0159B-8356-4876-BC16-A378EBA49293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28</xdr:col>
      <xdr:colOff>14040036</xdr:colOff>
      <xdr:row>125</xdr:row>
      <xdr:rowOff>513602</xdr:rowOff>
    </xdr:from>
    <xdr:to>
      <xdr:col>28</xdr:col>
      <xdr:colOff>14721728</xdr:colOff>
      <xdr:row>126</xdr:row>
      <xdr:rowOff>0</xdr:rowOff>
    </xdr:to>
    <xdr:sp macro="" textlink="">
      <xdr:nvSpPr>
        <xdr:cNvPr id="145" name="Cerrar llave 144">
          <a:extLst>
            <a:ext uri="{FF2B5EF4-FFF2-40B4-BE49-F238E27FC236}">
              <a16:creationId xmlns:a16="http://schemas.microsoft.com/office/drawing/2014/main" id="{0D60FB46-0DC0-4C1D-89F8-B0BE1A3CA4CB}"/>
            </a:ext>
          </a:extLst>
        </xdr:cNvPr>
        <xdr:cNvSpPr/>
      </xdr:nvSpPr>
      <xdr:spPr>
        <a:xfrm>
          <a:off x="135588561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14727301</xdr:colOff>
      <xdr:row>125</xdr:row>
      <xdr:rowOff>1801435</xdr:rowOff>
    </xdr:from>
    <xdr:to>
      <xdr:col>28</xdr:col>
      <xdr:colOff>16584706</xdr:colOff>
      <xdr:row>126</xdr:row>
      <xdr:rowOff>0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B804E6CB-7D83-4657-B6C1-E693394E3E49}"/>
            </a:ext>
          </a:extLst>
        </xdr:cNvPr>
        <xdr:cNvSpPr txBox="1"/>
      </xdr:nvSpPr>
      <xdr:spPr>
        <a:xfrm>
          <a:off x="135590026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33</xdr:col>
      <xdr:colOff>0</xdr:colOff>
      <xdr:row>12</xdr:row>
      <xdr:rowOff>846667</xdr:rowOff>
    </xdr:from>
    <xdr:to>
      <xdr:col>33</xdr:col>
      <xdr:colOff>0</xdr:colOff>
      <xdr:row>12</xdr:row>
      <xdr:rowOff>899583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6E05483A-C88C-494B-96B6-B19FD5A89FD4}"/>
            </a:ext>
          </a:extLst>
        </xdr:cNvPr>
        <xdr:cNvCxnSpPr/>
      </xdr:nvCxnSpPr>
      <xdr:spPr>
        <a:xfrm flipH="1" flipV="1">
          <a:off x="1529143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12</xdr:row>
      <xdr:rowOff>846667</xdr:rowOff>
    </xdr:from>
    <xdr:to>
      <xdr:col>33</xdr:col>
      <xdr:colOff>0</xdr:colOff>
      <xdr:row>12</xdr:row>
      <xdr:rowOff>899583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1FAE297E-1D63-4DE5-9A34-2B5979662858}"/>
            </a:ext>
          </a:extLst>
        </xdr:cNvPr>
        <xdr:cNvCxnSpPr/>
      </xdr:nvCxnSpPr>
      <xdr:spPr>
        <a:xfrm flipH="1" flipV="1">
          <a:off x="1529143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846667</xdr:rowOff>
    </xdr:from>
    <xdr:to>
      <xdr:col>34</xdr:col>
      <xdr:colOff>0</xdr:colOff>
      <xdr:row>12</xdr:row>
      <xdr:rowOff>899583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88D13A63-5BB1-411A-9C9D-02AA9560BD0B}"/>
            </a:ext>
          </a:extLst>
        </xdr:cNvPr>
        <xdr:cNvCxnSpPr/>
      </xdr:nvCxnSpPr>
      <xdr:spPr>
        <a:xfrm flipH="1" flipV="1">
          <a:off x="154428825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396875</xdr:colOff>
      <xdr:row>23</xdr:row>
      <xdr:rowOff>0</xdr:rowOff>
    </xdr:from>
    <xdr:to>
      <xdr:col>32</xdr:col>
      <xdr:colOff>2143125</xdr:colOff>
      <xdr:row>24</xdr:row>
      <xdr:rowOff>1587500</xdr:rowOff>
    </xdr:to>
    <xdr:sp macro="" textlink="">
      <xdr:nvSpPr>
        <xdr:cNvPr id="150" name="Cerrar llave 149">
          <a:extLst>
            <a:ext uri="{FF2B5EF4-FFF2-40B4-BE49-F238E27FC236}">
              <a16:creationId xmlns:a16="http://schemas.microsoft.com/office/drawing/2014/main" id="{28A20C9F-13A9-4462-A0D7-2F657F4F4E1A}"/>
            </a:ext>
          </a:extLst>
        </xdr:cNvPr>
        <xdr:cNvSpPr/>
      </xdr:nvSpPr>
      <xdr:spPr>
        <a:xfrm>
          <a:off x="151091900" y="3354705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317500</xdr:colOff>
      <xdr:row>26</xdr:row>
      <xdr:rowOff>0</xdr:rowOff>
    </xdr:from>
    <xdr:to>
      <xdr:col>32</xdr:col>
      <xdr:colOff>2063750</xdr:colOff>
      <xdr:row>27</xdr:row>
      <xdr:rowOff>1587500</xdr:rowOff>
    </xdr:to>
    <xdr:sp macro="" textlink="">
      <xdr:nvSpPr>
        <xdr:cNvPr id="151" name="Cerrar llave 150">
          <a:extLst>
            <a:ext uri="{FF2B5EF4-FFF2-40B4-BE49-F238E27FC236}">
              <a16:creationId xmlns:a16="http://schemas.microsoft.com/office/drawing/2014/main" id="{B1C0B4E8-2EC6-481E-96AB-8811ABC72ABD}"/>
            </a:ext>
          </a:extLst>
        </xdr:cNvPr>
        <xdr:cNvSpPr/>
      </xdr:nvSpPr>
      <xdr:spPr>
        <a:xfrm>
          <a:off x="151012525" y="37747575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238125</xdr:colOff>
      <xdr:row>29</xdr:row>
      <xdr:rowOff>0</xdr:rowOff>
    </xdr:from>
    <xdr:to>
      <xdr:col>32</xdr:col>
      <xdr:colOff>1984375</xdr:colOff>
      <xdr:row>30</xdr:row>
      <xdr:rowOff>1587500</xdr:rowOff>
    </xdr:to>
    <xdr:sp macro="" textlink="">
      <xdr:nvSpPr>
        <xdr:cNvPr id="152" name="Cerrar llave 151">
          <a:extLst>
            <a:ext uri="{FF2B5EF4-FFF2-40B4-BE49-F238E27FC236}">
              <a16:creationId xmlns:a16="http://schemas.microsoft.com/office/drawing/2014/main" id="{165C56AE-B70E-4155-8662-26ADF260967A}"/>
            </a:ext>
          </a:extLst>
        </xdr:cNvPr>
        <xdr:cNvSpPr/>
      </xdr:nvSpPr>
      <xdr:spPr>
        <a:xfrm>
          <a:off x="150933150" y="4194810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396875</xdr:colOff>
      <xdr:row>32</xdr:row>
      <xdr:rowOff>0</xdr:rowOff>
    </xdr:from>
    <xdr:to>
      <xdr:col>32</xdr:col>
      <xdr:colOff>2143125</xdr:colOff>
      <xdr:row>33</xdr:row>
      <xdr:rowOff>1428750</xdr:rowOff>
    </xdr:to>
    <xdr:sp macro="" textlink="">
      <xdr:nvSpPr>
        <xdr:cNvPr id="153" name="Cerrar llave 152">
          <a:extLst>
            <a:ext uri="{FF2B5EF4-FFF2-40B4-BE49-F238E27FC236}">
              <a16:creationId xmlns:a16="http://schemas.microsoft.com/office/drawing/2014/main" id="{60ED9329-94C1-4CEE-A733-5AD9A5F4215E}"/>
            </a:ext>
          </a:extLst>
        </xdr:cNvPr>
        <xdr:cNvSpPr/>
      </xdr:nvSpPr>
      <xdr:spPr>
        <a:xfrm>
          <a:off x="151091900" y="46148625"/>
          <a:ext cx="1746250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396875</xdr:colOff>
      <xdr:row>35</xdr:row>
      <xdr:rowOff>79375</xdr:rowOff>
    </xdr:from>
    <xdr:to>
      <xdr:col>32</xdr:col>
      <xdr:colOff>2143125</xdr:colOff>
      <xdr:row>36</xdr:row>
      <xdr:rowOff>1508125</xdr:rowOff>
    </xdr:to>
    <xdr:sp macro="" textlink="">
      <xdr:nvSpPr>
        <xdr:cNvPr id="154" name="Cerrar llave 153">
          <a:extLst>
            <a:ext uri="{FF2B5EF4-FFF2-40B4-BE49-F238E27FC236}">
              <a16:creationId xmlns:a16="http://schemas.microsoft.com/office/drawing/2014/main" id="{C37E9F6B-8A79-436B-8D99-33EDCC37DB79}"/>
            </a:ext>
          </a:extLst>
        </xdr:cNvPr>
        <xdr:cNvSpPr/>
      </xdr:nvSpPr>
      <xdr:spPr>
        <a:xfrm>
          <a:off x="151091900" y="50428525"/>
          <a:ext cx="1746250" cy="2724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635001</xdr:colOff>
      <xdr:row>70</xdr:row>
      <xdr:rowOff>158750</xdr:rowOff>
    </xdr:from>
    <xdr:to>
      <xdr:col>32</xdr:col>
      <xdr:colOff>2143125</xdr:colOff>
      <xdr:row>71</xdr:row>
      <xdr:rowOff>2778125</xdr:rowOff>
    </xdr:to>
    <xdr:sp macro="" textlink="">
      <xdr:nvSpPr>
        <xdr:cNvPr id="155" name="Cerrar llave 154">
          <a:extLst>
            <a:ext uri="{FF2B5EF4-FFF2-40B4-BE49-F238E27FC236}">
              <a16:creationId xmlns:a16="http://schemas.microsoft.com/office/drawing/2014/main" id="{C16F1E24-E422-413D-9584-4E6F1D096BBA}"/>
            </a:ext>
          </a:extLst>
        </xdr:cNvPr>
        <xdr:cNvSpPr/>
      </xdr:nvSpPr>
      <xdr:spPr>
        <a:xfrm>
          <a:off x="151330026" y="103095425"/>
          <a:ext cx="1508124" cy="2714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555625</xdr:colOff>
      <xdr:row>73</xdr:row>
      <xdr:rowOff>79375</xdr:rowOff>
    </xdr:from>
    <xdr:to>
      <xdr:col>33</xdr:col>
      <xdr:colOff>79375</xdr:colOff>
      <xdr:row>74</xdr:row>
      <xdr:rowOff>1508125</xdr:rowOff>
    </xdr:to>
    <xdr:sp macro="" textlink="">
      <xdr:nvSpPr>
        <xdr:cNvPr id="156" name="Cerrar llave 155">
          <a:extLst>
            <a:ext uri="{FF2B5EF4-FFF2-40B4-BE49-F238E27FC236}">
              <a16:creationId xmlns:a16="http://schemas.microsoft.com/office/drawing/2014/main" id="{8A0C26B4-473E-451C-821E-3F32D48D442C}"/>
            </a:ext>
          </a:extLst>
        </xdr:cNvPr>
        <xdr:cNvSpPr/>
      </xdr:nvSpPr>
      <xdr:spPr>
        <a:xfrm>
          <a:off x="151250650" y="107330875"/>
          <a:ext cx="1743075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555625</xdr:colOff>
      <xdr:row>75</xdr:row>
      <xdr:rowOff>158750</xdr:rowOff>
    </xdr:from>
    <xdr:to>
      <xdr:col>33</xdr:col>
      <xdr:colOff>79375</xdr:colOff>
      <xdr:row>76</xdr:row>
      <xdr:rowOff>1746250</xdr:rowOff>
    </xdr:to>
    <xdr:sp macro="" textlink="">
      <xdr:nvSpPr>
        <xdr:cNvPr id="157" name="Cerrar llave 156">
          <a:extLst>
            <a:ext uri="{FF2B5EF4-FFF2-40B4-BE49-F238E27FC236}">
              <a16:creationId xmlns:a16="http://schemas.microsoft.com/office/drawing/2014/main" id="{F43B6355-D9FA-448A-922F-AB0A6130EA1F}"/>
            </a:ext>
          </a:extLst>
        </xdr:cNvPr>
        <xdr:cNvSpPr/>
      </xdr:nvSpPr>
      <xdr:spPr>
        <a:xfrm>
          <a:off x="151250650" y="110286800"/>
          <a:ext cx="1743075" cy="27209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396875</xdr:colOff>
      <xdr:row>77</xdr:row>
      <xdr:rowOff>0</xdr:rowOff>
    </xdr:from>
    <xdr:to>
      <xdr:col>32</xdr:col>
      <xdr:colOff>2143125</xdr:colOff>
      <xdr:row>78</xdr:row>
      <xdr:rowOff>1587500</xdr:rowOff>
    </xdr:to>
    <xdr:sp macro="" textlink="">
      <xdr:nvSpPr>
        <xdr:cNvPr id="158" name="Cerrar llave 157">
          <a:extLst>
            <a:ext uri="{FF2B5EF4-FFF2-40B4-BE49-F238E27FC236}">
              <a16:creationId xmlns:a16="http://schemas.microsoft.com/office/drawing/2014/main" id="{837DA833-ECDD-44CA-BBE5-71784DDA6DB6}"/>
            </a:ext>
          </a:extLst>
        </xdr:cNvPr>
        <xdr:cNvSpPr/>
      </xdr:nvSpPr>
      <xdr:spPr>
        <a:xfrm>
          <a:off x="151091900" y="113004600"/>
          <a:ext cx="1746250" cy="2873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476250</xdr:colOff>
      <xdr:row>79</xdr:row>
      <xdr:rowOff>0</xdr:rowOff>
    </xdr:from>
    <xdr:to>
      <xdr:col>33</xdr:col>
      <xdr:colOff>0</xdr:colOff>
      <xdr:row>80</xdr:row>
      <xdr:rowOff>1428750</xdr:rowOff>
    </xdr:to>
    <xdr:sp macro="" textlink="">
      <xdr:nvSpPr>
        <xdr:cNvPr id="159" name="Cerrar llave 158">
          <a:extLst>
            <a:ext uri="{FF2B5EF4-FFF2-40B4-BE49-F238E27FC236}">
              <a16:creationId xmlns:a16="http://schemas.microsoft.com/office/drawing/2014/main" id="{CAAA3F16-2DBD-4667-9C4A-B520F40BE6FB}"/>
            </a:ext>
          </a:extLst>
        </xdr:cNvPr>
        <xdr:cNvSpPr/>
      </xdr:nvSpPr>
      <xdr:spPr>
        <a:xfrm>
          <a:off x="151171275" y="115881150"/>
          <a:ext cx="1743075" cy="2867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317500</xdr:colOff>
      <xdr:row>92</xdr:row>
      <xdr:rowOff>396874</xdr:rowOff>
    </xdr:from>
    <xdr:to>
      <xdr:col>33</xdr:col>
      <xdr:colOff>0</xdr:colOff>
      <xdr:row>101</xdr:row>
      <xdr:rowOff>1349374</xdr:rowOff>
    </xdr:to>
    <xdr:sp macro="" textlink="">
      <xdr:nvSpPr>
        <xdr:cNvPr id="160" name="Cerrar llave 159">
          <a:extLst>
            <a:ext uri="{FF2B5EF4-FFF2-40B4-BE49-F238E27FC236}">
              <a16:creationId xmlns:a16="http://schemas.microsoft.com/office/drawing/2014/main" id="{2FE6E91A-925F-4406-8748-76795D44F50C}"/>
            </a:ext>
          </a:extLst>
        </xdr:cNvPr>
        <xdr:cNvSpPr/>
      </xdr:nvSpPr>
      <xdr:spPr>
        <a:xfrm>
          <a:off x="151012525" y="133813549"/>
          <a:ext cx="1901825" cy="14354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317500</xdr:colOff>
      <xdr:row>111</xdr:row>
      <xdr:rowOff>79375</xdr:rowOff>
    </xdr:from>
    <xdr:to>
      <xdr:col>32</xdr:col>
      <xdr:colOff>2063750</xdr:colOff>
      <xdr:row>122</xdr:row>
      <xdr:rowOff>1587500</xdr:rowOff>
    </xdr:to>
    <xdr:sp macro="" textlink="">
      <xdr:nvSpPr>
        <xdr:cNvPr id="161" name="Cerrar llave 160">
          <a:extLst>
            <a:ext uri="{FF2B5EF4-FFF2-40B4-BE49-F238E27FC236}">
              <a16:creationId xmlns:a16="http://schemas.microsoft.com/office/drawing/2014/main" id="{123BFA7E-8A8B-4D3C-A320-0B2A8A370C83}"/>
            </a:ext>
          </a:extLst>
        </xdr:cNvPr>
        <xdr:cNvSpPr/>
      </xdr:nvSpPr>
      <xdr:spPr>
        <a:xfrm>
          <a:off x="151012525" y="161718625"/>
          <a:ext cx="1746250" cy="172720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206375</xdr:colOff>
      <xdr:row>125</xdr:row>
      <xdr:rowOff>79375</xdr:rowOff>
    </xdr:from>
    <xdr:to>
      <xdr:col>33</xdr:col>
      <xdr:colOff>47625</xdr:colOff>
      <xdr:row>132</xdr:row>
      <xdr:rowOff>0</xdr:rowOff>
    </xdr:to>
    <xdr:sp macro="" textlink="">
      <xdr:nvSpPr>
        <xdr:cNvPr id="162" name="Cerrar llave 161">
          <a:extLst>
            <a:ext uri="{FF2B5EF4-FFF2-40B4-BE49-F238E27FC236}">
              <a16:creationId xmlns:a16="http://schemas.microsoft.com/office/drawing/2014/main" id="{72E1E62A-B6F8-4D02-9742-A84343E66900}"/>
            </a:ext>
          </a:extLst>
        </xdr:cNvPr>
        <xdr:cNvSpPr/>
      </xdr:nvSpPr>
      <xdr:spPr>
        <a:xfrm>
          <a:off x="150901400" y="181949725"/>
          <a:ext cx="2060575" cy="97504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635000</xdr:colOff>
      <xdr:row>136</xdr:row>
      <xdr:rowOff>1</xdr:rowOff>
    </xdr:from>
    <xdr:to>
      <xdr:col>33</xdr:col>
      <xdr:colOff>79375</xdr:colOff>
      <xdr:row>137</xdr:row>
      <xdr:rowOff>0</xdr:rowOff>
    </xdr:to>
    <xdr:sp macro="" textlink="">
      <xdr:nvSpPr>
        <xdr:cNvPr id="163" name="Cerrar llave 162">
          <a:extLst>
            <a:ext uri="{FF2B5EF4-FFF2-40B4-BE49-F238E27FC236}">
              <a16:creationId xmlns:a16="http://schemas.microsoft.com/office/drawing/2014/main" id="{9CF33831-B777-4D90-91A7-ACD3F2C0A393}"/>
            </a:ext>
          </a:extLst>
        </xdr:cNvPr>
        <xdr:cNvSpPr/>
      </xdr:nvSpPr>
      <xdr:spPr>
        <a:xfrm>
          <a:off x="151330025" y="198720076"/>
          <a:ext cx="1663700" cy="185737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0</xdr:colOff>
      <xdr:row>163</xdr:row>
      <xdr:rowOff>1</xdr:rowOff>
    </xdr:from>
    <xdr:to>
      <xdr:col>32</xdr:col>
      <xdr:colOff>2063750</xdr:colOff>
      <xdr:row>170</xdr:row>
      <xdr:rowOff>840442</xdr:rowOff>
    </xdr:to>
    <xdr:sp macro="" textlink="">
      <xdr:nvSpPr>
        <xdr:cNvPr id="164" name="Cerrar llave 163">
          <a:extLst>
            <a:ext uri="{FF2B5EF4-FFF2-40B4-BE49-F238E27FC236}">
              <a16:creationId xmlns:a16="http://schemas.microsoft.com/office/drawing/2014/main" id="{BE7F2DFE-EBAF-4CAB-B054-55CA958ED25A}"/>
            </a:ext>
          </a:extLst>
        </xdr:cNvPr>
        <xdr:cNvSpPr/>
      </xdr:nvSpPr>
      <xdr:spPr>
        <a:xfrm>
          <a:off x="150695025" y="240801526"/>
          <a:ext cx="2063750" cy="1184181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317500</xdr:colOff>
      <xdr:row>3</xdr:row>
      <xdr:rowOff>79375</xdr:rowOff>
    </xdr:from>
    <xdr:to>
      <xdr:col>33</xdr:col>
      <xdr:colOff>158750</xdr:colOff>
      <xdr:row>9</xdr:row>
      <xdr:rowOff>158750</xdr:rowOff>
    </xdr:to>
    <xdr:sp macro="" textlink="">
      <xdr:nvSpPr>
        <xdr:cNvPr id="165" name="Cerrar llave 164">
          <a:extLst>
            <a:ext uri="{FF2B5EF4-FFF2-40B4-BE49-F238E27FC236}">
              <a16:creationId xmlns:a16="http://schemas.microsoft.com/office/drawing/2014/main" id="{8A0AE589-3623-4ECF-8F24-89B5949860CB}"/>
            </a:ext>
          </a:extLst>
        </xdr:cNvPr>
        <xdr:cNvSpPr/>
      </xdr:nvSpPr>
      <xdr:spPr>
        <a:xfrm>
          <a:off x="151012525" y="5184775"/>
          <a:ext cx="2060575" cy="8937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396875</xdr:colOff>
      <xdr:row>9</xdr:row>
      <xdr:rowOff>555625</xdr:rowOff>
    </xdr:from>
    <xdr:to>
      <xdr:col>33</xdr:col>
      <xdr:colOff>238125</xdr:colOff>
      <xdr:row>19</xdr:row>
      <xdr:rowOff>1587500</xdr:rowOff>
    </xdr:to>
    <xdr:sp macro="" textlink="">
      <xdr:nvSpPr>
        <xdr:cNvPr id="166" name="Cerrar llave 165">
          <a:extLst>
            <a:ext uri="{FF2B5EF4-FFF2-40B4-BE49-F238E27FC236}">
              <a16:creationId xmlns:a16="http://schemas.microsoft.com/office/drawing/2014/main" id="{15364AA8-84D8-4AF0-936C-454E579840F5}"/>
            </a:ext>
          </a:extLst>
        </xdr:cNvPr>
        <xdr:cNvSpPr/>
      </xdr:nvSpPr>
      <xdr:spPr>
        <a:xfrm>
          <a:off x="151091900" y="14519275"/>
          <a:ext cx="2060575" cy="148240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0</xdr:colOff>
      <xdr:row>106</xdr:row>
      <xdr:rowOff>0</xdr:rowOff>
    </xdr:from>
    <xdr:to>
      <xdr:col>32</xdr:col>
      <xdr:colOff>1923677</xdr:colOff>
      <xdr:row>107</xdr:row>
      <xdr:rowOff>0</xdr:rowOff>
    </xdr:to>
    <xdr:sp macro="" textlink="">
      <xdr:nvSpPr>
        <xdr:cNvPr id="167" name="Cerrar llave 166">
          <a:extLst>
            <a:ext uri="{FF2B5EF4-FFF2-40B4-BE49-F238E27FC236}">
              <a16:creationId xmlns:a16="http://schemas.microsoft.com/office/drawing/2014/main" id="{BD47F18F-00A5-466A-A2E8-8C6336F307BF}"/>
            </a:ext>
          </a:extLst>
        </xdr:cNvPr>
        <xdr:cNvSpPr/>
      </xdr:nvSpPr>
      <xdr:spPr>
        <a:xfrm>
          <a:off x="150695025" y="154590750"/>
          <a:ext cx="1923677" cy="1409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0</xdr:colOff>
      <xdr:row>11</xdr:row>
      <xdr:rowOff>846667</xdr:rowOff>
    </xdr:from>
    <xdr:to>
      <xdr:col>33</xdr:col>
      <xdr:colOff>0</xdr:colOff>
      <xdr:row>11</xdr:row>
      <xdr:rowOff>899583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785A27CF-C6E2-4810-B591-9B8C78B75AEF}"/>
            </a:ext>
          </a:extLst>
        </xdr:cNvPr>
        <xdr:cNvCxnSpPr/>
      </xdr:nvCxnSpPr>
      <xdr:spPr>
        <a:xfrm flipH="1" flipV="1">
          <a:off x="1529143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</xdr:row>
      <xdr:rowOff>846667</xdr:rowOff>
    </xdr:from>
    <xdr:to>
      <xdr:col>33</xdr:col>
      <xdr:colOff>0</xdr:colOff>
      <xdr:row>11</xdr:row>
      <xdr:rowOff>899583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F832ABCC-4B3A-47A1-A3AE-077678783C2C}"/>
            </a:ext>
          </a:extLst>
        </xdr:cNvPr>
        <xdr:cNvCxnSpPr/>
      </xdr:nvCxnSpPr>
      <xdr:spPr>
        <a:xfrm flipH="1" flipV="1">
          <a:off x="1529143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11</xdr:row>
      <xdr:rowOff>846667</xdr:rowOff>
    </xdr:from>
    <xdr:to>
      <xdr:col>34</xdr:col>
      <xdr:colOff>0</xdr:colOff>
      <xdr:row>11</xdr:row>
      <xdr:rowOff>899583</xdr:rowOff>
    </xdr:to>
    <xdr:cxnSp macro="">
      <xdr:nvCxnSpPr>
        <xdr:cNvPr id="170" name="Conector recto 169">
          <a:extLst>
            <a:ext uri="{FF2B5EF4-FFF2-40B4-BE49-F238E27FC236}">
              <a16:creationId xmlns:a16="http://schemas.microsoft.com/office/drawing/2014/main" id="{2CE7714E-DA9C-4EC3-9133-98EFB149083F}"/>
            </a:ext>
          </a:extLst>
        </xdr:cNvPr>
        <xdr:cNvCxnSpPr/>
      </xdr:nvCxnSpPr>
      <xdr:spPr>
        <a:xfrm flipH="1" flipV="1">
          <a:off x="154428825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8683625</xdr:colOff>
      <xdr:row>40</xdr:row>
      <xdr:rowOff>269875</xdr:rowOff>
    </xdr:from>
    <xdr:to>
      <xdr:col>32</xdr:col>
      <xdr:colOff>1666875</xdr:colOff>
      <xdr:row>54</xdr:row>
      <xdr:rowOff>190500</xdr:rowOff>
    </xdr:to>
    <xdr:sp macro="" textlink="">
      <xdr:nvSpPr>
        <xdr:cNvPr id="171" name="Cerrar llave 170">
          <a:extLst>
            <a:ext uri="{FF2B5EF4-FFF2-40B4-BE49-F238E27FC236}">
              <a16:creationId xmlns:a16="http://schemas.microsoft.com/office/drawing/2014/main" id="{F5532788-9AEE-4824-A7CB-B8BE826DD644}"/>
            </a:ext>
          </a:extLst>
        </xdr:cNvPr>
        <xdr:cNvSpPr/>
      </xdr:nvSpPr>
      <xdr:spPr>
        <a:xfrm>
          <a:off x="150577550" y="58810525"/>
          <a:ext cx="1784350" cy="219519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0</xdr:colOff>
      <xdr:row>107</xdr:row>
      <xdr:rowOff>0</xdr:rowOff>
    </xdr:from>
    <xdr:to>
      <xdr:col>32</xdr:col>
      <xdr:colOff>1923677</xdr:colOff>
      <xdr:row>108</xdr:row>
      <xdr:rowOff>0</xdr:rowOff>
    </xdr:to>
    <xdr:sp macro="" textlink="">
      <xdr:nvSpPr>
        <xdr:cNvPr id="172" name="Cerrar llave 171">
          <a:extLst>
            <a:ext uri="{FF2B5EF4-FFF2-40B4-BE49-F238E27FC236}">
              <a16:creationId xmlns:a16="http://schemas.microsoft.com/office/drawing/2014/main" id="{2F9A8C08-6127-4DCB-BE90-E342A996C4A2}"/>
            </a:ext>
          </a:extLst>
        </xdr:cNvPr>
        <xdr:cNvSpPr/>
      </xdr:nvSpPr>
      <xdr:spPr>
        <a:xfrm>
          <a:off x="150695025" y="156000450"/>
          <a:ext cx="1923677" cy="1409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53975</xdr:colOff>
      <xdr:row>20</xdr:row>
      <xdr:rowOff>990600</xdr:rowOff>
    </xdr:from>
    <xdr:to>
      <xdr:col>32</xdr:col>
      <xdr:colOff>1800225</xdr:colOff>
      <xdr:row>22</xdr:row>
      <xdr:rowOff>958850</xdr:rowOff>
    </xdr:to>
    <xdr:sp macro="" textlink="">
      <xdr:nvSpPr>
        <xdr:cNvPr id="173" name="Cerrar llave 172">
          <a:extLst>
            <a:ext uri="{FF2B5EF4-FFF2-40B4-BE49-F238E27FC236}">
              <a16:creationId xmlns:a16="http://schemas.microsoft.com/office/drawing/2014/main" id="{2DCEDFA8-1CA4-4CCE-9A65-C209D91AD228}"/>
            </a:ext>
          </a:extLst>
        </xdr:cNvPr>
        <xdr:cNvSpPr/>
      </xdr:nvSpPr>
      <xdr:spPr>
        <a:xfrm>
          <a:off x="150749000" y="30337125"/>
          <a:ext cx="1746250" cy="27686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12411989</xdr:colOff>
      <xdr:row>91</xdr:row>
      <xdr:rowOff>0</xdr:rowOff>
    </xdr:from>
    <xdr:to>
      <xdr:col>26</xdr:col>
      <xdr:colOff>13317798</xdr:colOff>
      <xdr:row>91</xdr:row>
      <xdr:rowOff>1209056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BF66D3D4-134F-4085-84AB-66840DEA365A}"/>
            </a:ext>
          </a:extLst>
        </xdr:cNvPr>
        <xdr:cNvSpPr/>
      </xdr:nvSpPr>
      <xdr:spPr>
        <a:xfrm>
          <a:off x="128740814" y="131978400"/>
          <a:ext cx="934" cy="120905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9EA7C36E-AD1E-4773-8737-2321FDC6DD7F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50EC970-FDC6-4584-8792-0E2EDC4CF351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5D4E8106-D871-4DEE-83B5-D607892CA09B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9DA623B-D5A8-49EF-80CC-B9AF8BF66220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324BB734-36F8-46C2-AA1F-5FED168AEE24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3334750-D880-4C28-BB3A-D2202FBD23F6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E62A4CD8-0D2C-459D-8D61-0A0D4DD3E936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D68B93B-F259-4C3A-99C3-6C8284699381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43D66EE1-B08D-4F6F-B7A8-FB77BDA3554D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1680982-344C-4DC6-A49F-88CAC89DF4EB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95823224-E009-4D85-8FDE-395AD26D7EF3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63180A2-E321-4E3D-BC51-F9219001D1C6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AE75D6B3-5BDA-4E47-B62D-3FDE9D4FD327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60E25F3-0057-4C69-9E49-2C87705B4973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7" name="Cerrar llave 16">
          <a:extLst>
            <a:ext uri="{FF2B5EF4-FFF2-40B4-BE49-F238E27FC236}">
              <a16:creationId xmlns:a16="http://schemas.microsoft.com/office/drawing/2014/main" id="{A8886803-8ED3-4FD1-BD7D-301BDA0FC59E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926F486-88B5-4DCB-B90D-1C2EBF879A17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9" name="Cerrar llave 18">
          <a:extLst>
            <a:ext uri="{FF2B5EF4-FFF2-40B4-BE49-F238E27FC236}">
              <a16:creationId xmlns:a16="http://schemas.microsoft.com/office/drawing/2014/main" id="{10C7249D-B2B0-4D43-B92E-29B3F4BE579E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65547FB-2FDD-4490-A88B-00AE40E16165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7EAEB601-C4F4-43DC-BBFB-59BA268B84CD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CBF905A-E48C-45F0-8961-2FB3427A49DE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4265AED7-AEE4-483A-9005-10F3EB9868DC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8715F35F-CEAC-44E4-A185-4FF77F099159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5" name="Cerrar llave 24">
          <a:extLst>
            <a:ext uri="{FF2B5EF4-FFF2-40B4-BE49-F238E27FC236}">
              <a16:creationId xmlns:a16="http://schemas.microsoft.com/office/drawing/2014/main" id="{60A5538C-6ACC-455A-B642-8E6A87C57BB3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BD672FB-B627-4AA0-8D70-04E2943796BE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7" name="Cerrar llave 26">
          <a:extLst>
            <a:ext uri="{FF2B5EF4-FFF2-40B4-BE49-F238E27FC236}">
              <a16:creationId xmlns:a16="http://schemas.microsoft.com/office/drawing/2014/main" id="{80C0DF9F-4454-4E86-B5F2-9E29419353EA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FE6791D-A387-44F2-85A1-211203DE47A4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9" name="Cerrar llave 28">
          <a:extLst>
            <a:ext uri="{FF2B5EF4-FFF2-40B4-BE49-F238E27FC236}">
              <a16:creationId xmlns:a16="http://schemas.microsoft.com/office/drawing/2014/main" id="{7BFEB500-2C72-4FE9-A42B-2646E990A15F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3654952-D8C5-4398-B4BF-11087AB46199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1" name="Cerrar llave 30">
          <a:extLst>
            <a:ext uri="{FF2B5EF4-FFF2-40B4-BE49-F238E27FC236}">
              <a16:creationId xmlns:a16="http://schemas.microsoft.com/office/drawing/2014/main" id="{D263DCEA-FFF9-4344-8EE3-4DCEFD7AED6A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A2348C71-3DDA-4688-A49F-874CF63E63E9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3" name="Cerrar llave 32">
          <a:extLst>
            <a:ext uri="{FF2B5EF4-FFF2-40B4-BE49-F238E27FC236}">
              <a16:creationId xmlns:a16="http://schemas.microsoft.com/office/drawing/2014/main" id="{D028BCB1-D1B9-4C3F-9CFA-E38331177894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DC747BE-7BFD-4A7A-AF56-7BD4A1CB322B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5" name="Cerrar llave 34">
          <a:extLst>
            <a:ext uri="{FF2B5EF4-FFF2-40B4-BE49-F238E27FC236}">
              <a16:creationId xmlns:a16="http://schemas.microsoft.com/office/drawing/2014/main" id="{3F305478-DD89-47DE-88B7-5D10B2933FFA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AD06F0D1-F925-43D1-B19A-E39FAADF801F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7" name="Cerrar llave 36">
          <a:extLst>
            <a:ext uri="{FF2B5EF4-FFF2-40B4-BE49-F238E27FC236}">
              <a16:creationId xmlns:a16="http://schemas.microsoft.com/office/drawing/2014/main" id="{C2F3483E-612B-435B-98E2-B2E4066DADE3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AD6982E5-4D2B-41D7-AF40-3F6297868739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9" name="Cerrar llave 38">
          <a:extLst>
            <a:ext uri="{FF2B5EF4-FFF2-40B4-BE49-F238E27FC236}">
              <a16:creationId xmlns:a16="http://schemas.microsoft.com/office/drawing/2014/main" id="{58262501-E11A-49B7-8FBB-6C1AD463D7EE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BC1E48D-2671-4146-B0F7-6C51F61A6999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1" name="Cerrar llave 40">
          <a:extLst>
            <a:ext uri="{FF2B5EF4-FFF2-40B4-BE49-F238E27FC236}">
              <a16:creationId xmlns:a16="http://schemas.microsoft.com/office/drawing/2014/main" id="{AFDA097C-84CA-4556-B6BD-122557B22458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102E7168-CBCF-4FD4-9FFE-FA52C23FE4B8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3" name="Cerrar llave 42">
          <a:extLst>
            <a:ext uri="{FF2B5EF4-FFF2-40B4-BE49-F238E27FC236}">
              <a16:creationId xmlns:a16="http://schemas.microsoft.com/office/drawing/2014/main" id="{463D02C2-6FB9-4317-B659-0F4FFD4E95DC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56D4D89B-86E8-4029-A083-C6A6074152D1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5" name="Cerrar llave 44">
          <a:extLst>
            <a:ext uri="{FF2B5EF4-FFF2-40B4-BE49-F238E27FC236}">
              <a16:creationId xmlns:a16="http://schemas.microsoft.com/office/drawing/2014/main" id="{CF69B1FA-B770-4236-926C-8AB9577CD644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A6E95183-53C9-4B51-BDA8-9DF67518781B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7" name="Cerrar llave 46">
          <a:extLst>
            <a:ext uri="{FF2B5EF4-FFF2-40B4-BE49-F238E27FC236}">
              <a16:creationId xmlns:a16="http://schemas.microsoft.com/office/drawing/2014/main" id="{B0857848-5800-499F-9AEC-925F447DAC72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82A26CF4-9250-46A9-A36B-917D24F89A7F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9" name="Cerrar llave 48">
          <a:extLst>
            <a:ext uri="{FF2B5EF4-FFF2-40B4-BE49-F238E27FC236}">
              <a16:creationId xmlns:a16="http://schemas.microsoft.com/office/drawing/2014/main" id="{E2CAD4B3-3440-499E-9396-AC857DB57860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7D14DEA-94A7-450C-AEA8-60AF3901D462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1" name="Cerrar llave 50">
          <a:extLst>
            <a:ext uri="{FF2B5EF4-FFF2-40B4-BE49-F238E27FC236}">
              <a16:creationId xmlns:a16="http://schemas.microsoft.com/office/drawing/2014/main" id="{0A9D7D92-1866-42FD-BF30-6E5F51ECF21D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90CD7E27-914A-45DC-8675-63BDBEC85432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3" name="Cerrar llave 52">
          <a:extLst>
            <a:ext uri="{FF2B5EF4-FFF2-40B4-BE49-F238E27FC236}">
              <a16:creationId xmlns:a16="http://schemas.microsoft.com/office/drawing/2014/main" id="{646542DC-35E9-4561-BD00-635434F60876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CE339CE1-9B7A-4050-93E6-DE11E8F4C430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5" name="Cerrar llave 54">
          <a:extLst>
            <a:ext uri="{FF2B5EF4-FFF2-40B4-BE49-F238E27FC236}">
              <a16:creationId xmlns:a16="http://schemas.microsoft.com/office/drawing/2014/main" id="{BF86F743-FECC-4193-9216-F5CDB9ABA079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24E6C467-E1B6-4796-9009-DA4B8A3C0BF1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7" name="Cerrar llave 56">
          <a:extLst>
            <a:ext uri="{FF2B5EF4-FFF2-40B4-BE49-F238E27FC236}">
              <a16:creationId xmlns:a16="http://schemas.microsoft.com/office/drawing/2014/main" id="{1B61B154-35A7-40CB-8837-83538DC9BE2E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FDD57D39-3923-4230-B28A-FFB0F550384F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9" name="Cerrar llave 58">
          <a:extLst>
            <a:ext uri="{FF2B5EF4-FFF2-40B4-BE49-F238E27FC236}">
              <a16:creationId xmlns:a16="http://schemas.microsoft.com/office/drawing/2014/main" id="{50011DDA-D140-4561-A490-F606B345EE14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8A411700-C3C8-4C50-ADD6-C9B28773A566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1" name="Cerrar llave 60">
          <a:extLst>
            <a:ext uri="{FF2B5EF4-FFF2-40B4-BE49-F238E27FC236}">
              <a16:creationId xmlns:a16="http://schemas.microsoft.com/office/drawing/2014/main" id="{48B5261D-BAD7-4CB1-B193-EB0CF5D61342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E254EB42-4469-4FCB-B813-5211C407C962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3" name="Cerrar llave 62">
          <a:extLst>
            <a:ext uri="{FF2B5EF4-FFF2-40B4-BE49-F238E27FC236}">
              <a16:creationId xmlns:a16="http://schemas.microsoft.com/office/drawing/2014/main" id="{BFE78284-00C0-481F-BD0A-005201D48DA4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CBBD1E90-8155-4F33-A4F3-041B6F89C50F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5" name="Cerrar llave 64">
          <a:extLst>
            <a:ext uri="{FF2B5EF4-FFF2-40B4-BE49-F238E27FC236}">
              <a16:creationId xmlns:a16="http://schemas.microsoft.com/office/drawing/2014/main" id="{656DD537-BFCD-4639-ACDF-47080AA65B7E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5BF21496-1B1A-4B77-A24E-B1980EA33A25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7" name="Cerrar llave 66">
          <a:extLst>
            <a:ext uri="{FF2B5EF4-FFF2-40B4-BE49-F238E27FC236}">
              <a16:creationId xmlns:a16="http://schemas.microsoft.com/office/drawing/2014/main" id="{03810528-2BC7-44D2-BF94-3C704464A7DA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9508413D-7F43-4533-9EB5-2AD251814332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9" name="Cerrar llave 68">
          <a:extLst>
            <a:ext uri="{FF2B5EF4-FFF2-40B4-BE49-F238E27FC236}">
              <a16:creationId xmlns:a16="http://schemas.microsoft.com/office/drawing/2014/main" id="{142FAFAE-AA51-4C20-AFAF-CE39238A7716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524F82A8-0A94-454C-9D39-EBB84D6003CB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1" name="Cerrar llave 70">
          <a:extLst>
            <a:ext uri="{FF2B5EF4-FFF2-40B4-BE49-F238E27FC236}">
              <a16:creationId xmlns:a16="http://schemas.microsoft.com/office/drawing/2014/main" id="{E94FB965-48BB-4AAE-85F5-ECD4A29E745F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3CB7583F-1940-4F4B-8B47-F820F46B2AFF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3" name="Cerrar llave 72">
          <a:extLst>
            <a:ext uri="{FF2B5EF4-FFF2-40B4-BE49-F238E27FC236}">
              <a16:creationId xmlns:a16="http://schemas.microsoft.com/office/drawing/2014/main" id="{45DF2035-5417-48A5-9E01-3D162A7F03F9}"/>
            </a:ext>
          </a:extLst>
        </xdr:cNvPr>
        <xdr:cNvSpPr/>
      </xdr:nvSpPr>
      <xdr:spPr>
        <a:xfrm>
          <a:off x="128740086" y="165029402"/>
          <a:ext cx="0" cy="82112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7F7E379F-D3F7-45B3-99BE-C17989F8A41F}"/>
            </a:ext>
          </a:extLst>
        </xdr:cNvPr>
        <xdr:cNvSpPr txBox="1"/>
      </xdr:nvSpPr>
      <xdr:spPr>
        <a:xfrm>
          <a:off x="128741551" y="165955285"/>
          <a:ext cx="30" cy="7282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5" name="Cerrar llave 74">
          <a:extLst>
            <a:ext uri="{FF2B5EF4-FFF2-40B4-BE49-F238E27FC236}">
              <a16:creationId xmlns:a16="http://schemas.microsoft.com/office/drawing/2014/main" id="{10EEC51F-B7F6-49BF-AED1-CF17DDB1B907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8CD56E24-7BFE-4E9A-9ECE-6C434DEE328D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7" name="Cerrar llave 76">
          <a:extLst>
            <a:ext uri="{FF2B5EF4-FFF2-40B4-BE49-F238E27FC236}">
              <a16:creationId xmlns:a16="http://schemas.microsoft.com/office/drawing/2014/main" id="{13BDE1ED-6540-42BC-BCF3-D0B61CA95D59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5B7C432A-9254-46BF-89D9-CD154C89CCE1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9" name="Cerrar llave 78">
          <a:extLst>
            <a:ext uri="{FF2B5EF4-FFF2-40B4-BE49-F238E27FC236}">
              <a16:creationId xmlns:a16="http://schemas.microsoft.com/office/drawing/2014/main" id="{4A0D2BD8-B7E6-4004-B74A-ABAD180EA230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15C6AA8E-AF5F-4A71-9AFB-2DDAECBB131D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1" name="Cerrar llave 80">
          <a:extLst>
            <a:ext uri="{FF2B5EF4-FFF2-40B4-BE49-F238E27FC236}">
              <a16:creationId xmlns:a16="http://schemas.microsoft.com/office/drawing/2014/main" id="{51AE42A5-5690-4440-88E7-73EA12934B43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88B49AB4-1EB8-4333-BAAF-32D1E53B061F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3" name="Cerrar llave 82">
          <a:extLst>
            <a:ext uri="{FF2B5EF4-FFF2-40B4-BE49-F238E27FC236}">
              <a16:creationId xmlns:a16="http://schemas.microsoft.com/office/drawing/2014/main" id="{7AC9DC0C-601B-469A-866D-C4E74CE41386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77A46CA-0E4B-4441-ABEC-2AC6F9BA2881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5" name="Cerrar llave 84">
          <a:extLst>
            <a:ext uri="{FF2B5EF4-FFF2-40B4-BE49-F238E27FC236}">
              <a16:creationId xmlns:a16="http://schemas.microsoft.com/office/drawing/2014/main" id="{D29B9442-EE12-4C6E-B224-3F6BA663BAB2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3D24BE9B-10D4-4052-9148-2B09B00C35AF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7" name="Cerrar llave 86">
          <a:extLst>
            <a:ext uri="{FF2B5EF4-FFF2-40B4-BE49-F238E27FC236}">
              <a16:creationId xmlns:a16="http://schemas.microsoft.com/office/drawing/2014/main" id="{85EDF964-2ABB-4EB6-B5E2-832943FDFAC3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7322651B-1F12-42AF-9851-B5317EE3311C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9" name="Cerrar llave 88">
          <a:extLst>
            <a:ext uri="{FF2B5EF4-FFF2-40B4-BE49-F238E27FC236}">
              <a16:creationId xmlns:a16="http://schemas.microsoft.com/office/drawing/2014/main" id="{9FDB8944-CA1D-45C3-9DAF-29EFD747575E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F632EF6C-C0BA-428F-96B1-D830CBAA0FE8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1" name="Cerrar llave 90">
          <a:extLst>
            <a:ext uri="{FF2B5EF4-FFF2-40B4-BE49-F238E27FC236}">
              <a16:creationId xmlns:a16="http://schemas.microsoft.com/office/drawing/2014/main" id="{51EEA5F2-700C-4C98-B8E3-2141DFF63899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11E7E7A6-57C2-45C8-8209-E31127F02646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3" name="Cerrar llave 92">
          <a:extLst>
            <a:ext uri="{FF2B5EF4-FFF2-40B4-BE49-F238E27FC236}">
              <a16:creationId xmlns:a16="http://schemas.microsoft.com/office/drawing/2014/main" id="{63B165A4-BC04-4BEB-BAFE-DB76B5DF71D8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4A2CCA9C-1FA5-4636-9645-CA5784DF0242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5" name="Cerrar llave 94">
          <a:extLst>
            <a:ext uri="{FF2B5EF4-FFF2-40B4-BE49-F238E27FC236}">
              <a16:creationId xmlns:a16="http://schemas.microsoft.com/office/drawing/2014/main" id="{D6150779-622C-4760-B6B9-C342ADFE700A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A3BE3A27-4060-4488-BD7B-474FA9CCB12C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7" name="Cerrar llave 96">
          <a:extLst>
            <a:ext uri="{FF2B5EF4-FFF2-40B4-BE49-F238E27FC236}">
              <a16:creationId xmlns:a16="http://schemas.microsoft.com/office/drawing/2014/main" id="{5BCCD682-734A-4CDD-8786-4CE95FE39EB6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06C09830-3025-44AD-966E-CAD506153735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9" name="Cerrar llave 98">
          <a:extLst>
            <a:ext uri="{FF2B5EF4-FFF2-40B4-BE49-F238E27FC236}">
              <a16:creationId xmlns:a16="http://schemas.microsoft.com/office/drawing/2014/main" id="{1BFADD58-4105-46FD-93F0-AEBF37955E52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56FF3CBD-D8FB-40F6-B27D-5E8C6C5EE0BE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1" name="Cerrar llave 100">
          <a:extLst>
            <a:ext uri="{FF2B5EF4-FFF2-40B4-BE49-F238E27FC236}">
              <a16:creationId xmlns:a16="http://schemas.microsoft.com/office/drawing/2014/main" id="{715F25A2-0374-4D71-B4DE-4BD077171104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CDDD8716-690C-492D-BB5C-82805F6CAA0C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3" name="Cerrar llave 102">
          <a:extLst>
            <a:ext uri="{FF2B5EF4-FFF2-40B4-BE49-F238E27FC236}">
              <a16:creationId xmlns:a16="http://schemas.microsoft.com/office/drawing/2014/main" id="{52152B93-867C-4795-896B-336A6704F452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AE5936D6-3C0F-4A9E-A8BA-A246C84F6AB8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5" name="Cerrar llave 104">
          <a:extLst>
            <a:ext uri="{FF2B5EF4-FFF2-40B4-BE49-F238E27FC236}">
              <a16:creationId xmlns:a16="http://schemas.microsoft.com/office/drawing/2014/main" id="{2EEA975C-D386-48C7-912C-E0A56497A650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A9580130-0A1F-447C-9E4E-631F7B76DD60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7" name="Cerrar llave 106">
          <a:extLst>
            <a:ext uri="{FF2B5EF4-FFF2-40B4-BE49-F238E27FC236}">
              <a16:creationId xmlns:a16="http://schemas.microsoft.com/office/drawing/2014/main" id="{8CCE8D5C-8EAC-4438-BF0A-80AA6E5DAFE9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04816292-25B1-47C2-BFB8-BC9F102F811D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9" name="Cerrar llave 108">
          <a:extLst>
            <a:ext uri="{FF2B5EF4-FFF2-40B4-BE49-F238E27FC236}">
              <a16:creationId xmlns:a16="http://schemas.microsoft.com/office/drawing/2014/main" id="{CDC926D4-4980-4E72-8BDE-4C29C462DB1D}"/>
            </a:ext>
          </a:extLst>
        </xdr:cNvPr>
        <xdr:cNvSpPr/>
      </xdr:nvSpPr>
      <xdr:spPr>
        <a:xfrm>
          <a:off x="128740086" y="165029402"/>
          <a:ext cx="0" cy="2547059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8A1570E5-FCED-450E-BA58-9211D514254B}"/>
            </a:ext>
          </a:extLst>
        </xdr:cNvPr>
        <xdr:cNvSpPr txBox="1"/>
      </xdr:nvSpPr>
      <xdr:spPr>
        <a:xfrm>
          <a:off x="128741551" y="165955285"/>
          <a:ext cx="30" cy="24542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1" name="Cerrar llave 110">
          <a:extLst>
            <a:ext uri="{FF2B5EF4-FFF2-40B4-BE49-F238E27FC236}">
              <a16:creationId xmlns:a16="http://schemas.microsoft.com/office/drawing/2014/main" id="{EFBF2A7B-69CF-4A9D-AC6B-6D28E28ABF0D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CA980735-2E63-4D13-B84F-A19306621888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3" name="Cerrar llave 112">
          <a:extLst>
            <a:ext uri="{FF2B5EF4-FFF2-40B4-BE49-F238E27FC236}">
              <a16:creationId xmlns:a16="http://schemas.microsoft.com/office/drawing/2014/main" id="{84EE33DD-BB72-43A0-9431-A7E47E7FE3DD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33D9D7E3-208D-4BD9-9A91-A8DD97EBB254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5" name="Cerrar llave 114">
          <a:extLst>
            <a:ext uri="{FF2B5EF4-FFF2-40B4-BE49-F238E27FC236}">
              <a16:creationId xmlns:a16="http://schemas.microsoft.com/office/drawing/2014/main" id="{FEF8A14C-F0FD-45FB-B098-59D8E85BC1CE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EF8D55E5-0759-42FB-A15A-A2563BE4BFBB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7" name="Cerrar llave 116">
          <a:extLst>
            <a:ext uri="{FF2B5EF4-FFF2-40B4-BE49-F238E27FC236}">
              <a16:creationId xmlns:a16="http://schemas.microsoft.com/office/drawing/2014/main" id="{342E2EAF-3606-4FCA-BFA4-D49E4B04249E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77F1D75B-0F97-4D72-AB84-EC59DDD8A873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9" name="Cerrar llave 118">
          <a:extLst>
            <a:ext uri="{FF2B5EF4-FFF2-40B4-BE49-F238E27FC236}">
              <a16:creationId xmlns:a16="http://schemas.microsoft.com/office/drawing/2014/main" id="{40102936-3860-4E39-9606-EAC35732B365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8471DBC5-1370-4BFF-BD35-433EBE80F3A6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21" name="Cerrar llave 120">
          <a:extLst>
            <a:ext uri="{FF2B5EF4-FFF2-40B4-BE49-F238E27FC236}">
              <a16:creationId xmlns:a16="http://schemas.microsoft.com/office/drawing/2014/main" id="{A6296B90-4686-42A6-B0F4-A2014758EE32}"/>
            </a:ext>
          </a:extLst>
        </xdr:cNvPr>
        <xdr:cNvSpPr/>
      </xdr:nvSpPr>
      <xdr:spPr>
        <a:xfrm>
          <a:off x="128740086" y="133930277"/>
          <a:ext cx="0" cy="282014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947C0230-CD3B-4CB5-9580-1D5AF9A50EFB}"/>
            </a:ext>
          </a:extLst>
        </xdr:cNvPr>
        <xdr:cNvSpPr txBox="1"/>
      </xdr:nvSpPr>
      <xdr:spPr>
        <a:xfrm>
          <a:off x="128741551" y="135218110"/>
          <a:ext cx="30" cy="1529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3" name="Cerrar llave 122">
          <a:extLst>
            <a:ext uri="{FF2B5EF4-FFF2-40B4-BE49-F238E27FC236}">
              <a16:creationId xmlns:a16="http://schemas.microsoft.com/office/drawing/2014/main" id="{75CA0DE7-0F99-4879-8280-BC52B5B87C91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C38D1BA3-9E19-405B-9A8E-7D6373EA7C91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5" name="Cerrar llave 124">
          <a:extLst>
            <a:ext uri="{FF2B5EF4-FFF2-40B4-BE49-F238E27FC236}">
              <a16:creationId xmlns:a16="http://schemas.microsoft.com/office/drawing/2014/main" id="{2FA26F43-D655-448E-8D25-1D66C3DE2F00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C8587A88-9A3D-4D08-9511-FE1B44D77C9F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7" name="Cerrar llave 126">
          <a:extLst>
            <a:ext uri="{FF2B5EF4-FFF2-40B4-BE49-F238E27FC236}">
              <a16:creationId xmlns:a16="http://schemas.microsoft.com/office/drawing/2014/main" id="{F6E13963-A01A-44F6-822A-D402619BDF08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A4810D33-9176-4D96-BCBE-06DD01EF647D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9" name="Cerrar llave 128">
          <a:extLst>
            <a:ext uri="{FF2B5EF4-FFF2-40B4-BE49-F238E27FC236}">
              <a16:creationId xmlns:a16="http://schemas.microsoft.com/office/drawing/2014/main" id="{979D8402-8D47-4FEA-9A2A-74F83B2C73D9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DAE4BEF1-8992-441D-8FA3-B5C7B646BD57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1" name="Cerrar llave 130">
          <a:extLst>
            <a:ext uri="{FF2B5EF4-FFF2-40B4-BE49-F238E27FC236}">
              <a16:creationId xmlns:a16="http://schemas.microsoft.com/office/drawing/2014/main" id="{D60B179A-06B9-4AC1-A0AA-D8029680CA92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843B3569-068F-4CF8-B478-9CC28E47AA05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3" name="Cerrar llave 132">
          <a:extLst>
            <a:ext uri="{FF2B5EF4-FFF2-40B4-BE49-F238E27FC236}">
              <a16:creationId xmlns:a16="http://schemas.microsoft.com/office/drawing/2014/main" id="{CCB58790-710D-4E4C-9EDC-9ECA8E1C975A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0ABD9305-810D-4952-A29E-11FE048F910D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5" name="Cerrar llave 134">
          <a:extLst>
            <a:ext uri="{FF2B5EF4-FFF2-40B4-BE49-F238E27FC236}">
              <a16:creationId xmlns:a16="http://schemas.microsoft.com/office/drawing/2014/main" id="{94BE70C6-A95A-48B9-B981-C924EC9ACB5E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39C027E0-62B9-4F41-9CE7-CB4BDD742CAE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7" name="Cerrar llave 136">
          <a:extLst>
            <a:ext uri="{FF2B5EF4-FFF2-40B4-BE49-F238E27FC236}">
              <a16:creationId xmlns:a16="http://schemas.microsoft.com/office/drawing/2014/main" id="{D1BCA8AE-9A78-46E2-8B16-33F0E64EA612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7908B230-52D7-4ACB-B5A4-C55EA4982DCC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9" name="Cerrar llave 138">
          <a:extLst>
            <a:ext uri="{FF2B5EF4-FFF2-40B4-BE49-F238E27FC236}">
              <a16:creationId xmlns:a16="http://schemas.microsoft.com/office/drawing/2014/main" id="{26872511-0C53-4F8C-948E-DEC3B13C9803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24BCC2AB-8600-4124-9821-CA5F46543158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1" name="Cerrar llave 140">
          <a:extLst>
            <a:ext uri="{FF2B5EF4-FFF2-40B4-BE49-F238E27FC236}">
              <a16:creationId xmlns:a16="http://schemas.microsoft.com/office/drawing/2014/main" id="{3BBAEA2E-DCBD-4145-AC78-012013128BE7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9D24C897-293D-42D7-B3F5-AEFE5699E859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3" name="Cerrar llave 142">
          <a:extLst>
            <a:ext uri="{FF2B5EF4-FFF2-40B4-BE49-F238E27FC236}">
              <a16:creationId xmlns:a16="http://schemas.microsoft.com/office/drawing/2014/main" id="{D60DD5DA-2C42-466A-A643-F603B642D7A4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547F0706-7E93-4FAB-B232-CEDC05A160BA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5" name="Cerrar llave 144">
          <a:extLst>
            <a:ext uri="{FF2B5EF4-FFF2-40B4-BE49-F238E27FC236}">
              <a16:creationId xmlns:a16="http://schemas.microsoft.com/office/drawing/2014/main" id="{01BF1F56-AD2A-4619-8E6C-6F241BB68257}"/>
            </a:ext>
          </a:extLst>
        </xdr:cNvPr>
        <xdr:cNvSpPr/>
      </xdr:nvSpPr>
      <xdr:spPr>
        <a:xfrm>
          <a:off x="128740086" y="182383952"/>
          <a:ext cx="0" cy="92467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67ABA17B-0C2B-4772-81A3-EE6415C456DD}"/>
            </a:ext>
          </a:extLst>
        </xdr:cNvPr>
        <xdr:cNvSpPr txBox="1"/>
      </xdr:nvSpPr>
      <xdr:spPr>
        <a:xfrm>
          <a:off x="128741551" y="18330983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1684BB9F-DA4A-4ECA-8C6E-1DB06CA10F02}"/>
            </a:ext>
          </a:extLst>
        </xdr:cNvPr>
        <xdr:cNvCxnSpPr/>
      </xdr:nvCxnSpPr>
      <xdr:spPr>
        <a:xfrm flipH="1" flipV="1">
          <a:off x="148161375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707B5C44-B9E7-47BC-8D6C-0A526808793D}"/>
            </a:ext>
          </a:extLst>
        </xdr:cNvPr>
        <xdr:cNvCxnSpPr/>
      </xdr:nvCxnSpPr>
      <xdr:spPr>
        <a:xfrm flipH="1" flipV="1">
          <a:off x="148161375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</xdr:row>
      <xdr:rowOff>846667</xdr:rowOff>
    </xdr:from>
    <xdr:to>
      <xdr:col>32</xdr:col>
      <xdr:colOff>0</xdr:colOff>
      <xdr:row>12</xdr:row>
      <xdr:rowOff>899583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32C8785C-ECE5-4776-B34F-C2483E5D8CA2}"/>
            </a:ext>
          </a:extLst>
        </xdr:cNvPr>
        <xdr:cNvCxnSpPr/>
      </xdr:nvCxnSpPr>
      <xdr:spPr>
        <a:xfrm flipH="1" flipV="1">
          <a:off x="1496758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396875</xdr:colOff>
      <xdr:row>23</xdr:row>
      <xdr:rowOff>0</xdr:rowOff>
    </xdr:from>
    <xdr:to>
      <xdr:col>30</xdr:col>
      <xdr:colOff>2143125</xdr:colOff>
      <xdr:row>24</xdr:row>
      <xdr:rowOff>1587500</xdr:rowOff>
    </xdr:to>
    <xdr:sp macro="" textlink="">
      <xdr:nvSpPr>
        <xdr:cNvPr id="150" name="Cerrar llave 149">
          <a:extLst>
            <a:ext uri="{FF2B5EF4-FFF2-40B4-BE49-F238E27FC236}">
              <a16:creationId xmlns:a16="http://schemas.microsoft.com/office/drawing/2014/main" id="{5304304C-8D89-4D9D-B0F0-8182FF7FC0F4}"/>
            </a:ext>
          </a:extLst>
        </xdr:cNvPr>
        <xdr:cNvSpPr/>
      </xdr:nvSpPr>
      <xdr:spPr>
        <a:xfrm>
          <a:off x="146338925" y="3354705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26</xdr:row>
      <xdr:rowOff>0</xdr:rowOff>
    </xdr:from>
    <xdr:to>
      <xdr:col>30</xdr:col>
      <xdr:colOff>2063750</xdr:colOff>
      <xdr:row>27</xdr:row>
      <xdr:rowOff>1587500</xdr:rowOff>
    </xdr:to>
    <xdr:sp macro="" textlink="">
      <xdr:nvSpPr>
        <xdr:cNvPr id="151" name="Cerrar llave 150">
          <a:extLst>
            <a:ext uri="{FF2B5EF4-FFF2-40B4-BE49-F238E27FC236}">
              <a16:creationId xmlns:a16="http://schemas.microsoft.com/office/drawing/2014/main" id="{60212A8F-8F66-4047-BC82-2FACB1535207}"/>
            </a:ext>
          </a:extLst>
        </xdr:cNvPr>
        <xdr:cNvSpPr/>
      </xdr:nvSpPr>
      <xdr:spPr>
        <a:xfrm>
          <a:off x="146259550" y="37747575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238125</xdr:colOff>
      <xdr:row>29</xdr:row>
      <xdr:rowOff>0</xdr:rowOff>
    </xdr:from>
    <xdr:to>
      <xdr:col>30</xdr:col>
      <xdr:colOff>1984375</xdr:colOff>
      <xdr:row>30</xdr:row>
      <xdr:rowOff>1587500</xdr:rowOff>
    </xdr:to>
    <xdr:sp macro="" textlink="">
      <xdr:nvSpPr>
        <xdr:cNvPr id="152" name="Cerrar llave 151">
          <a:extLst>
            <a:ext uri="{FF2B5EF4-FFF2-40B4-BE49-F238E27FC236}">
              <a16:creationId xmlns:a16="http://schemas.microsoft.com/office/drawing/2014/main" id="{B2571BE7-1E9A-4DBE-886F-BBDE7F4209A8}"/>
            </a:ext>
          </a:extLst>
        </xdr:cNvPr>
        <xdr:cNvSpPr/>
      </xdr:nvSpPr>
      <xdr:spPr>
        <a:xfrm>
          <a:off x="146180175" y="4194810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32</xdr:row>
      <xdr:rowOff>0</xdr:rowOff>
    </xdr:from>
    <xdr:to>
      <xdr:col>30</xdr:col>
      <xdr:colOff>2143125</xdr:colOff>
      <xdr:row>33</xdr:row>
      <xdr:rowOff>1428750</xdr:rowOff>
    </xdr:to>
    <xdr:sp macro="" textlink="">
      <xdr:nvSpPr>
        <xdr:cNvPr id="153" name="Cerrar llave 152">
          <a:extLst>
            <a:ext uri="{FF2B5EF4-FFF2-40B4-BE49-F238E27FC236}">
              <a16:creationId xmlns:a16="http://schemas.microsoft.com/office/drawing/2014/main" id="{DE5C88A8-9280-4568-B1DF-906732D39874}"/>
            </a:ext>
          </a:extLst>
        </xdr:cNvPr>
        <xdr:cNvSpPr/>
      </xdr:nvSpPr>
      <xdr:spPr>
        <a:xfrm>
          <a:off x="146338925" y="46148625"/>
          <a:ext cx="1746250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35</xdr:row>
      <xdr:rowOff>79375</xdr:rowOff>
    </xdr:from>
    <xdr:to>
      <xdr:col>30</xdr:col>
      <xdr:colOff>2143125</xdr:colOff>
      <xdr:row>36</xdr:row>
      <xdr:rowOff>1508125</xdr:rowOff>
    </xdr:to>
    <xdr:sp macro="" textlink="">
      <xdr:nvSpPr>
        <xdr:cNvPr id="154" name="Cerrar llave 153">
          <a:extLst>
            <a:ext uri="{FF2B5EF4-FFF2-40B4-BE49-F238E27FC236}">
              <a16:creationId xmlns:a16="http://schemas.microsoft.com/office/drawing/2014/main" id="{11AD4CDF-32EC-4481-BD45-A2F2B2F585A2}"/>
            </a:ext>
          </a:extLst>
        </xdr:cNvPr>
        <xdr:cNvSpPr/>
      </xdr:nvSpPr>
      <xdr:spPr>
        <a:xfrm>
          <a:off x="146338925" y="50428525"/>
          <a:ext cx="1746250" cy="2724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635001</xdr:colOff>
      <xdr:row>70</xdr:row>
      <xdr:rowOff>158750</xdr:rowOff>
    </xdr:from>
    <xdr:to>
      <xdr:col>30</xdr:col>
      <xdr:colOff>2143125</xdr:colOff>
      <xdr:row>71</xdr:row>
      <xdr:rowOff>2778125</xdr:rowOff>
    </xdr:to>
    <xdr:sp macro="" textlink="">
      <xdr:nvSpPr>
        <xdr:cNvPr id="155" name="Cerrar llave 154">
          <a:extLst>
            <a:ext uri="{FF2B5EF4-FFF2-40B4-BE49-F238E27FC236}">
              <a16:creationId xmlns:a16="http://schemas.microsoft.com/office/drawing/2014/main" id="{7F8DEC1F-65F6-41C4-B174-0F7706953C35}"/>
            </a:ext>
          </a:extLst>
        </xdr:cNvPr>
        <xdr:cNvSpPr/>
      </xdr:nvSpPr>
      <xdr:spPr>
        <a:xfrm>
          <a:off x="146577051" y="103095425"/>
          <a:ext cx="1508124" cy="2714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73</xdr:row>
      <xdr:rowOff>79375</xdr:rowOff>
    </xdr:from>
    <xdr:to>
      <xdr:col>31</xdr:col>
      <xdr:colOff>79375</xdr:colOff>
      <xdr:row>74</xdr:row>
      <xdr:rowOff>1508125</xdr:rowOff>
    </xdr:to>
    <xdr:sp macro="" textlink="">
      <xdr:nvSpPr>
        <xdr:cNvPr id="156" name="Cerrar llave 155">
          <a:extLst>
            <a:ext uri="{FF2B5EF4-FFF2-40B4-BE49-F238E27FC236}">
              <a16:creationId xmlns:a16="http://schemas.microsoft.com/office/drawing/2014/main" id="{62B5A71A-77E1-49C6-AC49-FF2F582A68F4}"/>
            </a:ext>
          </a:extLst>
        </xdr:cNvPr>
        <xdr:cNvSpPr/>
      </xdr:nvSpPr>
      <xdr:spPr>
        <a:xfrm>
          <a:off x="146497675" y="107330875"/>
          <a:ext cx="1743075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75</xdr:row>
      <xdr:rowOff>158750</xdr:rowOff>
    </xdr:from>
    <xdr:to>
      <xdr:col>31</xdr:col>
      <xdr:colOff>79375</xdr:colOff>
      <xdr:row>76</xdr:row>
      <xdr:rowOff>1746250</xdr:rowOff>
    </xdr:to>
    <xdr:sp macro="" textlink="">
      <xdr:nvSpPr>
        <xdr:cNvPr id="157" name="Cerrar llave 156">
          <a:extLst>
            <a:ext uri="{FF2B5EF4-FFF2-40B4-BE49-F238E27FC236}">
              <a16:creationId xmlns:a16="http://schemas.microsoft.com/office/drawing/2014/main" id="{BC7C30C7-BD67-49A9-B1A0-93E278F38D51}"/>
            </a:ext>
          </a:extLst>
        </xdr:cNvPr>
        <xdr:cNvSpPr/>
      </xdr:nvSpPr>
      <xdr:spPr>
        <a:xfrm>
          <a:off x="146497675" y="110286800"/>
          <a:ext cx="1743075" cy="27209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77</xdr:row>
      <xdr:rowOff>0</xdr:rowOff>
    </xdr:from>
    <xdr:to>
      <xdr:col>30</xdr:col>
      <xdr:colOff>2143125</xdr:colOff>
      <xdr:row>78</xdr:row>
      <xdr:rowOff>1587500</xdr:rowOff>
    </xdr:to>
    <xdr:sp macro="" textlink="">
      <xdr:nvSpPr>
        <xdr:cNvPr id="158" name="Cerrar llave 157">
          <a:extLst>
            <a:ext uri="{FF2B5EF4-FFF2-40B4-BE49-F238E27FC236}">
              <a16:creationId xmlns:a16="http://schemas.microsoft.com/office/drawing/2014/main" id="{E3FF88BB-F1A1-4683-AEB6-735F8C47F31E}"/>
            </a:ext>
          </a:extLst>
        </xdr:cNvPr>
        <xdr:cNvSpPr/>
      </xdr:nvSpPr>
      <xdr:spPr>
        <a:xfrm>
          <a:off x="146338925" y="113004600"/>
          <a:ext cx="1746250" cy="2873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476250</xdr:colOff>
      <xdr:row>79</xdr:row>
      <xdr:rowOff>0</xdr:rowOff>
    </xdr:from>
    <xdr:to>
      <xdr:col>31</xdr:col>
      <xdr:colOff>0</xdr:colOff>
      <xdr:row>80</xdr:row>
      <xdr:rowOff>1428750</xdr:rowOff>
    </xdr:to>
    <xdr:sp macro="" textlink="">
      <xdr:nvSpPr>
        <xdr:cNvPr id="159" name="Cerrar llave 158">
          <a:extLst>
            <a:ext uri="{FF2B5EF4-FFF2-40B4-BE49-F238E27FC236}">
              <a16:creationId xmlns:a16="http://schemas.microsoft.com/office/drawing/2014/main" id="{8A2711F9-E344-4A22-9A2E-A1C3BA5A7452}"/>
            </a:ext>
          </a:extLst>
        </xdr:cNvPr>
        <xdr:cNvSpPr/>
      </xdr:nvSpPr>
      <xdr:spPr>
        <a:xfrm>
          <a:off x="146418300" y="115881150"/>
          <a:ext cx="1743075" cy="2867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92</xdr:row>
      <xdr:rowOff>396874</xdr:rowOff>
    </xdr:from>
    <xdr:to>
      <xdr:col>31</xdr:col>
      <xdr:colOff>0</xdr:colOff>
      <xdr:row>101</xdr:row>
      <xdr:rowOff>1349374</xdr:rowOff>
    </xdr:to>
    <xdr:sp macro="" textlink="">
      <xdr:nvSpPr>
        <xdr:cNvPr id="160" name="Cerrar llave 159">
          <a:extLst>
            <a:ext uri="{FF2B5EF4-FFF2-40B4-BE49-F238E27FC236}">
              <a16:creationId xmlns:a16="http://schemas.microsoft.com/office/drawing/2014/main" id="{A23692B2-DA8E-48D6-92B9-F5D3E33D6448}"/>
            </a:ext>
          </a:extLst>
        </xdr:cNvPr>
        <xdr:cNvSpPr/>
      </xdr:nvSpPr>
      <xdr:spPr>
        <a:xfrm>
          <a:off x="146259550" y="133813549"/>
          <a:ext cx="1901825" cy="14354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111</xdr:row>
      <xdr:rowOff>79375</xdr:rowOff>
    </xdr:from>
    <xdr:to>
      <xdr:col>30</xdr:col>
      <xdr:colOff>2063750</xdr:colOff>
      <xdr:row>122</xdr:row>
      <xdr:rowOff>1587500</xdr:rowOff>
    </xdr:to>
    <xdr:sp macro="" textlink="">
      <xdr:nvSpPr>
        <xdr:cNvPr id="161" name="Cerrar llave 160">
          <a:extLst>
            <a:ext uri="{FF2B5EF4-FFF2-40B4-BE49-F238E27FC236}">
              <a16:creationId xmlns:a16="http://schemas.microsoft.com/office/drawing/2014/main" id="{E32DBCAC-5BE4-42C4-A4D9-EA7B84D03E8E}"/>
            </a:ext>
          </a:extLst>
        </xdr:cNvPr>
        <xdr:cNvSpPr/>
      </xdr:nvSpPr>
      <xdr:spPr>
        <a:xfrm>
          <a:off x="146259550" y="161718625"/>
          <a:ext cx="1746250" cy="172720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206375</xdr:colOff>
      <xdr:row>125</xdr:row>
      <xdr:rowOff>79375</xdr:rowOff>
    </xdr:from>
    <xdr:to>
      <xdr:col>31</xdr:col>
      <xdr:colOff>47625</xdr:colOff>
      <xdr:row>132</xdr:row>
      <xdr:rowOff>0</xdr:rowOff>
    </xdr:to>
    <xdr:sp macro="" textlink="">
      <xdr:nvSpPr>
        <xdr:cNvPr id="162" name="Cerrar llave 161">
          <a:extLst>
            <a:ext uri="{FF2B5EF4-FFF2-40B4-BE49-F238E27FC236}">
              <a16:creationId xmlns:a16="http://schemas.microsoft.com/office/drawing/2014/main" id="{D5C43E9C-D9A4-4589-BB37-8310320FB1EB}"/>
            </a:ext>
          </a:extLst>
        </xdr:cNvPr>
        <xdr:cNvSpPr/>
      </xdr:nvSpPr>
      <xdr:spPr>
        <a:xfrm>
          <a:off x="146148425" y="181949725"/>
          <a:ext cx="2060575" cy="97504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635000</xdr:colOff>
      <xdr:row>136</xdr:row>
      <xdr:rowOff>1</xdr:rowOff>
    </xdr:from>
    <xdr:to>
      <xdr:col>31</xdr:col>
      <xdr:colOff>79375</xdr:colOff>
      <xdr:row>137</xdr:row>
      <xdr:rowOff>0</xdr:rowOff>
    </xdr:to>
    <xdr:sp macro="" textlink="">
      <xdr:nvSpPr>
        <xdr:cNvPr id="163" name="Cerrar llave 162">
          <a:extLst>
            <a:ext uri="{FF2B5EF4-FFF2-40B4-BE49-F238E27FC236}">
              <a16:creationId xmlns:a16="http://schemas.microsoft.com/office/drawing/2014/main" id="{D9F62BC1-D6E9-45A6-B73F-40C9F80C7859}"/>
            </a:ext>
          </a:extLst>
        </xdr:cNvPr>
        <xdr:cNvSpPr/>
      </xdr:nvSpPr>
      <xdr:spPr>
        <a:xfrm>
          <a:off x="146577050" y="198720076"/>
          <a:ext cx="1663700" cy="185737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163</xdr:row>
      <xdr:rowOff>1</xdr:rowOff>
    </xdr:from>
    <xdr:to>
      <xdr:col>30</xdr:col>
      <xdr:colOff>2063750</xdr:colOff>
      <xdr:row>170</xdr:row>
      <xdr:rowOff>840442</xdr:rowOff>
    </xdr:to>
    <xdr:sp macro="" textlink="">
      <xdr:nvSpPr>
        <xdr:cNvPr id="164" name="Cerrar llave 163">
          <a:extLst>
            <a:ext uri="{FF2B5EF4-FFF2-40B4-BE49-F238E27FC236}">
              <a16:creationId xmlns:a16="http://schemas.microsoft.com/office/drawing/2014/main" id="{AB4E968E-E051-4098-BC3C-5B19273683E6}"/>
            </a:ext>
          </a:extLst>
        </xdr:cNvPr>
        <xdr:cNvSpPr/>
      </xdr:nvSpPr>
      <xdr:spPr>
        <a:xfrm>
          <a:off x="145942050" y="240801526"/>
          <a:ext cx="2063750" cy="1184181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3</xdr:row>
      <xdr:rowOff>79375</xdr:rowOff>
    </xdr:from>
    <xdr:to>
      <xdr:col>31</xdr:col>
      <xdr:colOff>158750</xdr:colOff>
      <xdr:row>9</xdr:row>
      <xdr:rowOff>158750</xdr:rowOff>
    </xdr:to>
    <xdr:sp macro="" textlink="">
      <xdr:nvSpPr>
        <xdr:cNvPr id="165" name="Cerrar llave 164">
          <a:extLst>
            <a:ext uri="{FF2B5EF4-FFF2-40B4-BE49-F238E27FC236}">
              <a16:creationId xmlns:a16="http://schemas.microsoft.com/office/drawing/2014/main" id="{DC4FB570-D211-40F6-937A-7326A8471AEB}"/>
            </a:ext>
          </a:extLst>
        </xdr:cNvPr>
        <xdr:cNvSpPr/>
      </xdr:nvSpPr>
      <xdr:spPr>
        <a:xfrm>
          <a:off x="146259550" y="5184775"/>
          <a:ext cx="2060575" cy="8937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9</xdr:row>
      <xdr:rowOff>555625</xdr:rowOff>
    </xdr:from>
    <xdr:to>
      <xdr:col>31</xdr:col>
      <xdr:colOff>238125</xdr:colOff>
      <xdr:row>19</xdr:row>
      <xdr:rowOff>1587500</xdr:rowOff>
    </xdr:to>
    <xdr:sp macro="" textlink="">
      <xdr:nvSpPr>
        <xdr:cNvPr id="166" name="Cerrar llave 165">
          <a:extLst>
            <a:ext uri="{FF2B5EF4-FFF2-40B4-BE49-F238E27FC236}">
              <a16:creationId xmlns:a16="http://schemas.microsoft.com/office/drawing/2014/main" id="{AAF358C1-D6E9-4439-A3A9-AF3F87ACEF56}"/>
            </a:ext>
          </a:extLst>
        </xdr:cNvPr>
        <xdr:cNvSpPr/>
      </xdr:nvSpPr>
      <xdr:spPr>
        <a:xfrm>
          <a:off x="146338925" y="14519275"/>
          <a:ext cx="2060575" cy="148240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106</xdr:row>
      <xdr:rowOff>0</xdr:rowOff>
    </xdr:from>
    <xdr:to>
      <xdr:col>30</xdr:col>
      <xdr:colOff>1923677</xdr:colOff>
      <xdr:row>107</xdr:row>
      <xdr:rowOff>0</xdr:rowOff>
    </xdr:to>
    <xdr:sp macro="" textlink="">
      <xdr:nvSpPr>
        <xdr:cNvPr id="167" name="Cerrar llave 166">
          <a:extLst>
            <a:ext uri="{FF2B5EF4-FFF2-40B4-BE49-F238E27FC236}">
              <a16:creationId xmlns:a16="http://schemas.microsoft.com/office/drawing/2014/main" id="{E4EB8383-391F-439F-BC9B-80D5AC5652E6}"/>
            </a:ext>
          </a:extLst>
        </xdr:cNvPr>
        <xdr:cNvSpPr/>
      </xdr:nvSpPr>
      <xdr:spPr>
        <a:xfrm>
          <a:off x="145942050" y="154590750"/>
          <a:ext cx="1923677" cy="1409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7679FE4E-3F82-4D15-A397-B7E2129C6E54}"/>
            </a:ext>
          </a:extLst>
        </xdr:cNvPr>
        <xdr:cNvCxnSpPr/>
      </xdr:nvCxnSpPr>
      <xdr:spPr>
        <a:xfrm flipH="1" flipV="1">
          <a:off x="148161375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75E71746-9FA9-42F3-B381-20E207B004E3}"/>
            </a:ext>
          </a:extLst>
        </xdr:cNvPr>
        <xdr:cNvCxnSpPr/>
      </xdr:nvCxnSpPr>
      <xdr:spPr>
        <a:xfrm flipH="1" flipV="1">
          <a:off x="148161375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</xdr:row>
      <xdr:rowOff>846667</xdr:rowOff>
    </xdr:from>
    <xdr:to>
      <xdr:col>32</xdr:col>
      <xdr:colOff>0</xdr:colOff>
      <xdr:row>11</xdr:row>
      <xdr:rowOff>899583</xdr:rowOff>
    </xdr:to>
    <xdr:cxnSp macro="">
      <xdr:nvCxnSpPr>
        <xdr:cNvPr id="170" name="Conector recto 169">
          <a:extLst>
            <a:ext uri="{FF2B5EF4-FFF2-40B4-BE49-F238E27FC236}">
              <a16:creationId xmlns:a16="http://schemas.microsoft.com/office/drawing/2014/main" id="{864B0164-AFF6-4826-95E5-2DF679F72D92}"/>
            </a:ext>
          </a:extLst>
        </xdr:cNvPr>
        <xdr:cNvCxnSpPr/>
      </xdr:nvCxnSpPr>
      <xdr:spPr>
        <a:xfrm flipH="1" flipV="1">
          <a:off x="1496758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8683625</xdr:colOff>
      <xdr:row>40</xdr:row>
      <xdr:rowOff>269875</xdr:rowOff>
    </xdr:from>
    <xdr:to>
      <xdr:col>30</xdr:col>
      <xdr:colOff>1666875</xdr:colOff>
      <xdr:row>54</xdr:row>
      <xdr:rowOff>190500</xdr:rowOff>
    </xdr:to>
    <xdr:sp macro="" textlink="">
      <xdr:nvSpPr>
        <xdr:cNvPr id="171" name="Cerrar llave 170">
          <a:extLst>
            <a:ext uri="{FF2B5EF4-FFF2-40B4-BE49-F238E27FC236}">
              <a16:creationId xmlns:a16="http://schemas.microsoft.com/office/drawing/2014/main" id="{8C6D1C22-9378-4B90-A672-FE27B633A00C}"/>
            </a:ext>
          </a:extLst>
        </xdr:cNvPr>
        <xdr:cNvSpPr/>
      </xdr:nvSpPr>
      <xdr:spPr>
        <a:xfrm>
          <a:off x="145824575" y="58810525"/>
          <a:ext cx="1784350" cy="219519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107</xdr:row>
      <xdr:rowOff>0</xdr:rowOff>
    </xdr:from>
    <xdr:to>
      <xdr:col>30</xdr:col>
      <xdr:colOff>1923677</xdr:colOff>
      <xdr:row>108</xdr:row>
      <xdr:rowOff>0</xdr:rowOff>
    </xdr:to>
    <xdr:sp macro="" textlink="">
      <xdr:nvSpPr>
        <xdr:cNvPr id="172" name="Cerrar llave 171">
          <a:extLst>
            <a:ext uri="{FF2B5EF4-FFF2-40B4-BE49-F238E27FC236}">
              <a16:creationId xmlns:a16="http://schemas.microsoft.com/office/drawing/2014/main" id="{E0E9A9C3-5387-45F9-8A0B-4972618C5259}"/>
            </a:ext>
          </a:extLst>
        </xdr:cNvPr>
        <xdr:cNvSpPr/>
      </xdr:nvSpPr>
      <xdr:spPr>
        <a:xfrm>
          <a:off x="145942050" y="156000450"/>
          <a:ext cx="1923677" cy="1409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53975</xdr:colOff>
      <xdr:row>20</xdr:row>
      <xdr:rowOff>990600</xdr:rowOff>
    </xdr:from>
    <xdr:to>
      <xdr:col>30</xdr:col>
      <xdr:colOff>1800225</xdr:colOff>
      <xdr:row>22</xdr:row>
      <xdr:rowOff>958850</xdr:rowOff>
    </xdr:to>
    <xdr:sp macro="" textlink="">
      <xdr:nvSpPr>
        <xdr:cNvPr id="173" name="Cerrar llave 172">
          <a:extLst>
            <a:ext uri="{FF2B5EF4-FFF2-40B4-BE49-F238E27FC236}">
              <a16:creationId xmlns:a16="http://schemas.microsoft.com/office/drawing/2014/main" id="{A06354FC-B559-490C-AD8B-C1E8C380DBDF}"/>
            </a:ext>
          </a:extLst>
        </xdr:cNvPr>
        <xdr:cNvSpPr/>
      </xdr:nvSpPr>
      <xdr:spPr>
        <a:xfrm>
          <a:off x="145996025" y="30337125"/>
          <a:ext cx="1746250" cy="27686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12411989</xdr:colOff>
      <xdr:row>91</xdr:row>
      <xdr:rowOff>0</xdr:rowOff>
    </xdr:from>
    <xdr:to>
      <xdr:col>26</xdr:col>
      <xdr:colOff>13317798</xdr:colOff>
      <xdr:row>91</xdr:row>
      <xdr:rowOff>1209056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F590F1B-4A78-45DB-8445-C56BAA71F586}"/>
            </a:ext>
          </a:extLst>
        </xdr:cNvPr>
        <xdr:cNvSpPr/>
      </xdr:nvSpPr>
      <xdr:spPr>
        <a:xfrm>
          <a:off x="129302789" y="126577725"/>
          <a:ext cx="934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CBA8C632-9578-4E0D-997C-B278BD200C2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53B2AE2-79B3-4DE5-8332-A3A04F892854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2058AF77-234F-4E34-A760-194B8200F85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65CF70A-07A5-4BCF-8131-C2442CC1B288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1A333EA4-7DF7-4FEF-BDC4-B1FD6640FA4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A82BB89-350E-451E-8CE6-49C2CD26FDC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D87BB80E-57C4-4076-ACF1-40346AB21425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4C80F1E-8ED8-4DFF-82E1-F6F95E6C0A09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748E1A18-E18B-4984-8F2E-D382039ECAD9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D490E75-9C24-4C48-80EB-C2CE7390A65B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C07DFE03-82CE-4BAF-ADCB-AD1A50460474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153A20E-8F21-48E9-BC3B-C4535464D83C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D29AAD48-24DF-4F58-9FE7-A1DE66BB4D1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45459E77-7EC2-4C40-BB20-035296FBD8E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7" name="Cerrar llave 16">
          <a:extLst>
            <a:ext uri="{FF2B5EF4-FFF2-40B4-BE49-F238E27FC236}">
              <a16:creationId xmlns:a16="http://schemas.microsoft.com/office/drawing/2014/main" id="{0B7D6E29-BFA9-441E-BFA3-9E99E276B668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2C3ED7F-1F9C-45B9-A5AA-F3AC64A73168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9" name="Cerrar llave 18">
          <a:extLst>
            <a:ext uri="{FF2B5EF4-FFF2-40B4-BE49-F238E27FC236}">
              <a16:creationId xmlns:a16="http://schemas.microsoft.com/office/drawing/2014/main" id="{90F969E6-361B-489B-B46A-EFE8B3D66AB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3DF320B-82F1-45C6-B0A1-9477B30F9604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6AEB6419-7670-483C-BAFA-A6BBB76D26FD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B3929D5-2701-4C10-B21F-2DF086C60CC1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FB414F73-2070-47B6-98F7-4C4326CBB1D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5FD5CB7-F43C-43F5-A8E2-6D63D749437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5" name="Cerrar llave 24">
          <a:extLst>
            <a:ext uri="{FF2B5EF4-FFF2-40B4-BE49-F238E27FC236}">
              <a16:creationId xmlns:a16="http://schemas.microsoft.com/office/drawing/2014/main" id="{6737C86D-3CF0-4D0D-93F7-8C1E8596F381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B92F2A4D-4A1D-4271-90C5-18C7485DE3E1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7" name="Cerrar llave 26">
          <a:extLst>
            <a:ext uri="{FF2B5EF4-FFF2-40B4-BE49-F238E27FC236}">
              <a16:creationId xmlns:a16="http://schemas.microsoft.com/office/drawing/2014/main" id="{81576E72-EB93-4FBF-8D76-E74235D0E41C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889A7410-C1DC-446D-8528-B617C9B3CD57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9" name="Cerrar llave 28">
          <a:extLst>
            <a:ext uri="{FF2B5EF4-FFF2-40B4-BE49-F238E27FC236}">
              <a16:creationId xmlns:a16="http://schemas.microsoft.com/office/drawing/2014/main" id="{F59F7EEC-EBCB-4EA0-A78E-51D3E79D3FF1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76900F46-2F54-41CF-BC8B-24B15EAC538A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1" name="Cerrar llave 30">
          <a:extLst>
            <a:ext uri="{FF2B5EF4-FFF2-40B4-BE49-F238E27FC236}">
              <a16:creationId xmlns:a16="http://schemas.microsoft.com/office/drawing/2014/main" id="{047D8B3E-8E0B-4972-AA38-7D17CEE3A19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BAA427F-AD1A-496C-BEA9-917ACF98048A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3" name="Cerrar llave 32">
          <a:extLst>
            <a:ext uri="{FF2B5EF4-FFF2-40B4-BE49-F238E27FC236}">
              <a16:creationId xmlns:a16="http://schemas.microsoft.com/office/drawing/2014/main" id="{BBD116F7-8300-44C5-B922-C9BA8493F1E2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6B4E9C76-0384-4894-B60B-7F67189D32A6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5" name="Cerrar llave 34">
          <a:extLst>
            <a:ext uri="{FF2B5EF4-FFF2-40B4-BE49-F238E27FC236}">
              <a16:creationId xmlns:a16="http://schemas.microsoft.com/office/drawing/2014/main" id="{C6DCF9E8-CECA-4BC5-9A71-60C4E510F222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4B2AB5A-0EAF-4D48-9B3A-02A1BC2DD83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7" name="Cerrar llave 36">
          <a:extLst>
            <a:ext uri="{FF2B5EF4-FFF2-40B4-BE49-F238E27FC236}">
              <a16:creationId xmlns:a16="http://schemas.microsoft.com/office/drawing/2014/main" id="{ABCB9281-4AB6-4168-A2A7-339B1BAEB7F8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3B8BBB07-71AF-4BB8-8871-22DBAF16CCAD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9" name="Cerrar llave 38">
          <a:extLst>
            <a:ext uri="{FF2B5EF4-FFF2-40B4-BE49-F238E27FC236}">
              <a16:creationId xmlns:a16="http://schemas.microsoft.com/office/drawing/2014/main" id="{8DBD5C56-7563-4522-9B09-B142EDA94E30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81E5F41C-7962-4B11-A53B-9B385C2F85B6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1" name="Cerrar llave 40">
          <a:extLst>
            <a:ext uri="{FF2B5EF4-FFF2-40B4-BE49-F238E27FC236}">
              <a16:creationId xmlns:a16="http://schemas.microsoft.com/office/drawing/2014/main" id="{C4C57A33-B429-4861-8CFC-3540F7EC465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EDE1677B-BF04-43F1-9468-36847D509AF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3" name="Cerrar llave 42">
          <a:extLst>
            <a:ext uri="{FF2B5EF4-FFF2-40B4-BE49-F238E27FC236}">
              <a16:creationId xmlns:a16="http://schemas.microsoft.com/office/drawing/2014/main" id="{9BE38FBA-0F03-44B1-8D7F-C38A092E2326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450BAA0-099E-4E25-AC0E-C3E046D23C6E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5" name="Cerrar llave 44">
          <a:extLst>
            <a:ext uri="{FF2B5EF4-FFF2-40B4-BE49-F238E27FC236}">
              <a16:creationId xmlns:a16="http://schemas.microsoft.com/office/drawing/2014/main" id="{53C2C19D-D686-4056-BE71-CA354ED5A0F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5538E5DA-CB89-494C-829B-077FF560F74F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7" name="Cerrar llave 46">
          <a:extLst>
            <a:ext uri="{FF2B5EF4-FFF2-40B4-BE49-F238E27FC236}">
              <a16:creationId xmlns:a16="http://schemas.microsoft.com/office/drawing/2014/main" id="{C45391FC-E172-4453-AD74-243EDFCB6B96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E3BD6ED9-BA61-4FD7-B9BF-BE1D2E6BBE3F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9" name="Cerrar llave 48">
          <a:extLst>
            <a:ext uri="{FF2B5EF4-FFF2-40B4-BE49-F238E27FC236}">
              <a16:creationId xmlns:a16="http://schemas.microsoft.com/office/drawing/2014/main" id="{0073BFCF-0AC4-47D3-A207-003BC02AAABF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E2E5AD0-7EBB-45EC-9010-8247233C02C1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1" name="Cerrar llave 50">
          <a:extLst>
            <a:ext uri="{FF2B5EF4-FFF2-40B4-BE49-F238E27FC236}">
              <a16:creationId xmlns:a16="http://schemas.microsoft.com/office/drawing/2014/main" id="{415C43E2-0A67-4B09-A9A9-94AC1F7D574D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D2A030E6-50D3-4C22-8B2B-2B4C859EC87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3" name="Cerrar llave 52">
          <a:extLst>
            <a:ext uri="{FF2B5EF4-FFF2-40B4-BE49-F238E27FC236}">
              <a16:creationId xmlns:a16="http://schemas.microsoft.com/office/drawing/2014/main" id="{43D24415-C25B-4DE5-81B5-D881165A274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2F5D2DB3-6DD2-4954-9990-40BC2D0A82A0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5" name="Cerrar llave 54">
          <a:extLst>
            <a:ext uri="{FF2B5EF4-FFF2-40B4-BE49-F238E27FC236}">
              <a16:creationId xmlns:a16="http://schemas.microsoft.com/office/drawing/2014/main" id="{0DCE16C5-90AA-4826-8FCD-3C74EC40410B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80FA905D-479E-4466-9DF2-48BA96B51782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7" name="Cerrar llave 56">
          <a:extLst>
            <a:ext uri="{FF2B5EF4-FFF2-40B4-BE49-F238E27FC236}">
              <a16:creationId xmlns:a16="http://schemas.microsoft.com/office/drawing/2014/main" id="{3585AF39-C09A-43CF-8289-8BE6AE81F409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8D52716E-990F-4BFF-A6F4-E98F84219CCF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9" name="Cerrar llave 58">
          <a:extLst>
            <a:ext uri="{FF2B5EF4-FFF2-40B4-BE49-F238E27FC236}">
              <a16:creationId xmlns:a16="http://schemas.microsoft.com/office/drawing/2014/main" id="{6C1D21BC-6777-4B90-BFC8-3E59DACC77A3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9D3CF801-A0C7-4264-9785-81C68FEF30D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1" name="Cerrar llave 60">
          <a:extLst>
            <a:ext uri="{FF2B5EF4-FFF2-40B4-BE49-F238E27FC236}">
              <a16:creationId xmlns:a16="http://schemas.microsoft.com/office/drawing/2014/main" id="{C834184F-BBA3-43C4-B107-D670E3FD673A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D5DAC90-6E14-459C-8E82-C211F8E19D4F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3" name="Cerrar llave 62">
          <a:extLst>
            <a:ext uri="{FF2B5EF4-FFF2-40B4-BE49-F238E27FC236}">
              <a16:creationId xmlns:a16="http://schemas.microsoft.com/office/drawing/2014/main" id="{929910C7-525B-4A81-BD00-E79681E1CFF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A9926711-FEB2-4104-8F81-68A8928B126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5" name="Cerrar llave 64">
          <a:extLst>
            <a:ext uri="{FF2B5EF4-FFF2-40B4-BE49-F238E27FC236}">
              <a16:creationId xmlns:a16="http://schemas.microsoft.com/office/drawing/2014/main" id="{818B1FF9-1BAD-41F4-8B3D-960299228176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D57197BA-71A7-4E69-8B76-838442EE6563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7" name="Cerrar llave 66">
          <a:extLst>
            <a:ext uri="{FF2B5EF4-FFF2-40B4-BE49-F238E27FC236}">
              <a16:creationId xmlns:a16="http://schemas.microsoft.com/office/drawing/2014/main" id="{2BD3BB63-85EF-45BB-BEA0-4EC54E99670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805BEC72-1B38-4A83-ACDA-3D5AFD9F7655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9" name="Cerrar llave 68">
          <a:extLst>
            <a:ext uri="{FF2B5EF4-FFF2-40B4-BE49-F238E27FC236}">
              <a16:creationId xmlns:a16="http://schemas.microsoft.com/office/drawing/2014/main" id="{C9332785-05F3-4F39-89D7-C1F6CD8B0C3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B09C69A0-6993-453B-88EB-3EC667D9A9C3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1" name="Cerrar llave 70">
          <a:extLst>
            <a:ext uri="{FF2B5EF4-FFF2-40B4-BE49-F238E27FC236}">
              <a16:creationId xmlns:a16="http://schemas.microsoft.com/office/drawing/2014/main" id="{F2799B39-CE37-4036-BD10-2F1ADB79E63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287588C9-8700-4F1E-A013-48103DCA08A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3" name="Cerrar llave 72">
          <a:extLst>
            <a:ext uri="{FF2B5EF4-FFF2-40B4-BE49-F238E27FC236}">
              <a16:creationId xmlns:a16="http://schemas.microsoft.com/office/drawing/2014/main" id="{DDD8CE49-4A8D-4046-98D0-39F8289399D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28680E41-E20A-49D5-B8F5-DD6F20753F17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5" name="Cerrar llave 74">
          <a:extLst>
            <a:ext uri="{FF2B5EF4-FFF2-40B4-BE49-F238E27FC236}">
              <a16:creationId xmlns:a16="http://schemas.microsoft.com/office/drawing/2014/main" id="{A73B9CD1-4394-4D84-92CE-C9433786827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56E6609C-2C0F-4842-8EDB-2787D4D1BF9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7" name="Cerrar llave 76">
          <a:extLst>
            <a:ext uri="{FF2B5EF4-FFF2-40B4-BE49-F238E27FC236}">
              <a16:creationId xmlns:a16="http://schemas.microsoft.com/office/drawing/2014/main" id="{40C9BDC0-5EF0-483B-9D76-1FF08BE36989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0843D956-1792-45EC-999E-0CCAFD8EB520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9" name="Cerrar llave 78">
          <a:extLst>
            <a:ext uri="{FF2B5EF4-FFF2-40B4-BE49-F238E27FC236}">
              <a16:creationId xmlns:a16="http://schemas.microsoft.com/office/drawing/2014/main" id="{D3A32027-17F1-4537-91F8-FFEE5124B24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DEFBF9AE-23A4-4550-BC44-8164A806CB41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1" name="Cerrar llave 80">
          <a:extLst>
            <a:ext uri="{FF2B5EF4-FFF2-40B4-BE49-F238E27FC236}">
              <a16:creationId xmlns:a16="http://schemas.microsoft.com/office/drawing/2014/main" id="{BFD07CBF-63BA-47AA-976F-E967632A3BDF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B38EB9C-8C3F-4B0C-9F95-670B82862CB6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3" name="Cerrar llave 82">
          <a:extLst>
            <a:ext uri="{FF2B5EF4-FFF2-40B4-BE49-F238E27FC236}">
              <a16:creationId xmlns:a16="http://schemas.microsoft.com/office/drawing/2014/main" id="{E0716167-A374-488E-A4AB-8FD50DFA37AE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2D67EE69-75F0-486C-A603-E6BFA172F7E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5" name="Cerrar llave 84">
          <a:extLst>
            <a:ext uri="{FF2B5EF4-FFF2-40B4-BE49-F238E27FC236}">
              <a16:creationId xmlns:a16="http://schemas.microsoft.com/office/drawing/2014/main" id="{A88B143B-FC4B-413E-BFA4-241DBD2D2F9D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6A7F48C1-3D1D-4024-A665-95B7BA133882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7" name="Cerrar llave 86">
          <a:extLst>
            <a:ext uri="{FF2B5EF4-FFF2-40B4-BE49-F238E27FC236}">
              <a16:creationId xmlns:a16="http://schemas.microsoft.com/office/drawing/2014/main" id="{A7597288-9557-4DD0-87C2-3D6824C3D96A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0C3BA93A-038E-4E6D-B271-687CB82580A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9" name="Cerrar llave 88">
          <a:extLst>
            <a:ext uri="{FF2B5EF4-FFF2-40B4-BE49-F238E27FC236}">
              <a16:creationId xmlns:a16="http://schemas.microsoft.com/office/drawing/2014/main" id="{E89764D0-F632-49F3-B234-30E23FF42484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24AA77C-29DF-4937-8EC2-18A52413526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1" name="Cerrar llave 90">
          <a:extLst>
            <a:ext uri="{FF2B5EF4-FFF2-40B4-BE49-F238E27FC236}">
              <a16:creationId xmlns:a16="http://schemas.microsoft.com/office/drawing/2014/main" id="{EB652B94-33DC-4E59-BDD5-CD177E1833CB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298DA25B-8B67-4DA7-BFE0-75499D85F1AF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3" name="Cerrar llave 92">
          <a:extLst>
            <a:ext uri="{FF2B5EF4-FFF2-40B4-BE49-F238E27FC236}">
              <a16:creationId xmlns:a16="http://schemas.microsoft.com/office/drawing/2014/main" id="{67C43C2D-41BF-45A0-9B0C-FB767B906046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D9241B26-8617-4667-8890-866B1C9AEF1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5" name="Cerrar llave 94">
          <a:extLst>
            <a:ext uri="{FF2B5EF4-FFF2-40B4-BE49-F238E27FC236}">
              <a16:creationId xmlns:a16="http://schemas.microsoft.com/office/drawing/2014/main" id="{623C184D-4D93-4D52-8014-FC31E05F9D3E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7F9695FB-CF1C-40E7-A513-09910F6D1B3C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7" name="Cerrar llave 96">
          <a:extLst>
            <a:ext uri="{FF2B5EF4-FFF2-40B4-BE49-F238E27FC236}">
              <a16:creationId xmlns:a16="http://schemas.microsoft.com/office/drawing/2014/main" id="{6D237E49-2C4C-42F0-93DB-637E2670764C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1A4FB6ED-A07E-4EAC-BD61-84B16A12BAD1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9" name="Cerrar llave 98">
          <a:extLst>
            <a:ext uri="{FF2B5EF4-FFF2-40B4-BE49-F238E27FC236}">
              <a16:creationId xmlns:a16="http://schemas.microsoft.com/office/drawing/2014/main" id="{5C46370C-9FD0-4C41-8517-4441ABF712B7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444E9C5-C3E9-4998-A3AB-4459E5BDDDDE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1" name="Cerrar llave 100">
          <a:extLst>
            <a:ext uri="{FF2B5EF4-FFF2-40B4-BE49-F238E27FC236}">
              <a16:creationId xmlns:a16="http://schemas.microsoft.com/office/drawing/2014/main" id="{E4172B3A-80A6-4B3A-80D0-2EBE423575C8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8A9614EA-C62C-4105-AA98-E271C9A298C0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3" name="Cerrar llave 102">
          <a:extLst>
            <a:ext uri="{FF2B5EF4-FFF2-40B4-BE49-F238E27FC236}">
              <a16:creationId xmlns:a16="http://schemas.microsoft.com/office/drawing/2014/main" id="{0391B03D-C6EB-478C-8DED-B8CC95B0A669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B2AAE1CB-2F5D-4D4A-AF35-93DD8CB406D1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5" name="Cerrar llave 104">
          <a:extLst>
            <a:ext uri="{FF2B5EF4-FFF2-40B4-BE49-F238E27FC236}">
              <a16:creationId xmlns:a16="http://schemas.microsoft.com/office/drawing/2014/main" id="{448C46EB-E1F8-400E-8462-F9608B43D625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207DE3DC-B792-4857-8F4B-1A0963F34B77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7" name="Cerrar llave 106">
          <a:extLst>
            <a:ext uri="{FF2B5EF4-FFF2-40B4-BE49-F238E27FC236}">
              <a16:creationId xmlns:a16="http://schemas.microsoft.com/office/drawing/2014/main" id="{112616A2-13C4-48E8-A86B-C1EEEBB3DE41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9BCC5C45-F530-43E9-9857-3CE7725EEC00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9" name="Cerrar llave 108">
          <a:extLst>
            <a:ext uri="{FF2B5EF4-FFF2-40B4-BE49-F238E27FC236}">
              <a16:creationId xmlns:a16="http://schemas.microsoft.com/office/drawing/2014/main" id="{450258D2-E81D-48C1-B6BA-D6F8F6F7151C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58DD8074-F881-4D88-B035-E65F6754DC48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1" name="Cerrar llave 110">
          <a:extLst>
            <a:ext uri="{FF2B5EF4-FFF2-40B4-BE49-F238E27FC236}">
              <a16:creationId xmlns:a16="http://schemas.microsoft.com/office/drawing/2014/main" id="{6DC2C9DA-C36F-43E8-A456-3DA90FBA209B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067B9742-9A4D-4B54-9657-37EF9A6BDD22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3" name="Cerrar llave 112">
          <a:extLst>
            <a:ext uri="{FF2B5EF4-FFF2-40B4-BE49-F238E27FC236}">
              <a16:creationId xmlns:a16="http://schemas.microsoft.com/office/drawing/2014/main" id="{64AFF97F-600C-42AA-9922-1F5EDD2EBA2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63646AB0-C611-4604-9A42-9B1E6E341473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5" name="Cerrar llave 114">
          <a:extLst>
            <a:ext uri="{FF2B5EF4-FFF2-40B4-BE49-F238E27FC236}">
              <a16:creationId xmlns:a16="http://schemas.microsoft.com/office/drawing/2014/main" id="{AEC70087-8FB2-4DF9-BF7B-E4AE00C53764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D9CCB688-C65E-4D89-9A42-79DD5FB0C61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7" name="Cerrar llave 116">
          <a:extLst>
            <a:ext uri="{FF2B5EF4-FFF2-40B4-BE49-F238E27FC236}">
              <a16:creationId xmlns:a16="http://schemas.microsoft.com/office/drawing/2014/main" id="{AF0F593D-1835-4115-8FD5-37AE1340BED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6A0F38A0-EDD3-441C-A258-0420E927A4AC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9" name="Cerrar llave 118">
          <a:extLst>
            <a:ext uri="{FF2B5EF4-FFF2-40B4-BE49-F238E27FC236}">
              <a16:creationId xmlns:a16="http://schemas.microsoft.com/office/drawing/2014/main" id="{3A4CEE40-D931-46FC-BA09-D989FC9080E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DD84B3AE-73FB-4597-ADF0-B69DDA3B07F8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21" name="Cerrar llave 120">
          <a:extLst>
            <a:ext uri="{FF2B5EF4-FFF2-40B4-BE49-F238E27FC236}">
              <a16:creationId xmlns:a16="http://schemas.microsoft.com/office/drawing/2014/main" id="{13E242E1-600F-4360-A15C-73C046B22460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4C1C2710-1B28-45A2-8810-BC0726A1214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3" name="Cerrar llave 122">
          <a:extLst>
            <a:ext uri="{FF2B5EF4-FFF2-40B4-BE49-F238E27FC236}">
              <a16:creationId xmlns:a16="http://schemas.microsoft.com/office/drawing/2014/main" id="{EB56D102-768F-43D4-BEED-88E48633F676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4F2DC009-0925-41E4-B44C-5D6181A15A87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5" name="Cerrar llave 124">
          <a:extLst>
            <a:ext uri="{FF2B5EF4-FFF2-40B4-BE49-F238E27FC236}">
              <a16:creationId xmlns:a16="http://schemas.microsoft.com/office/drawing/2014/main" id="{00A61901-AB42-4D1D-B341-3A4925DD5F42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9AE617F9-39F8-4C5C-820A-ED2FD5391175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7" name="Cerrar llave 126">
          <a:extLst>
            <a:ext uri="{FF2B5EF4-FFF2-40B4-BE49-F238E27FC236}">
              <a16:creationId xmlns:a16="http://schemas.microsoft.com/office/drawing/2014/main" id="{C3B83803-44E7-457A-A9DE-35D5F5C0E908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67DCE05F-C0CF-4CD3-9EA3-D1F284762AEF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9" name="Cerrar llave 128">
          <a:extLst>
            <a:ext uri="{FF2B5EF4-FFF2-40B4-BE49-F238E27FC236}">
              <a16:creationId xmlns:a16="http://schemas.microsoft.com/office/drawing/2014/main" id="{85FADE56-01ED-4ADD-A610-CC767C90AE13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8121CA5C-7FCD-4600-A04F-06DAF23389CD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1" name="Cerrar llave 130">
          <a:extLst>
            <a:ext uri="{FF2B5EF4-FFF2-40B4-BE49-F238E27FC236}">
              <a16:creationId xmlns:a16="http://schemas.microsoft.com/office/drawing/2014/main" id="{4B764072-09F8-4F8E-A029-E0A2A2B51E04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94B638CF-C45E-47B3-8A65-038C14081630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3" name="Cerrar llave 132">
          <a:extLst>
            <a:ext uri="{FF2B5EF4-FFF2-40B4-BE49-F238E27FC236}">
              <a16:creationId xmlns:a16="http://schemas.microsoft.com/office/drawing/2014/main" id="{6683A03C-0125-4CEC-A10B-69B2172B9598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2BD2A525-EA26-43BE-82BD-EF968050135C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5" name="Cerrar llave 134">
          <a:extLst>
            <a:ext uri="{FF2B5EF4-FFF2-40B4-BE49-F238E27FC236}">
              <a16:creationId xmlns:a16="http://schemas.microsoft.com/office/drawing/2014/main" id="{C48BF3D7-F98F-4286-9DBC-4F664C8DB4EE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3E690381-808A-48D6-87A0-6D6E1D0B7C43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7" name="Cerrar llave 136">
          <a:extLst>
            <a:ext uri="{FF2B5EF4-FFF2-40B4-BE49-F238E27FC236}">
              <a16:creationId xmlns:a16="http://schemas.microsoft.com/office/drawing/2014/main" id="{DD528D3E-17D6-4F30-B1A0-93BF7FC0CAC3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7A59E25C-C2B6-49FB-B7BF-0D7CD9AE3E2B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9" name="Cerrar llave 138">
          <a:extLst>
            <a:ext uri="{FF2B5EF4-FFF2-40B4-BE49-F238E27FC236}">
              <a16:creationId xmlns:a16="http://schemas.microsoft.com/office/drawing/2014/main" id="{0F13BF15-BAB1-4568-8EEF-19F5B1CF1FFB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C419FE4A-8A2F-42C4-9C89-AED01B0BE690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1" name="Cerrar llave 140">
          <a:extLst>
            <a:ext uri="{FF2B5EF4-FFF2-40B4-BE49-F238E27FC236}">
              <a16:creationId xmlns:a16="http://schemas.microsoft.com/office/drawing/2014/main" id="{1A60547A-C555-44EE-83CD-E18ACC4D6D99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4F987A3B-B10F-43B7-BA2B-F06D219D405F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3" name="Cerrar llave 142">
          <a:extLst>
            <a:ext uri="{FF2B5EF4-FFF2-40B4-BE49-F238E27FC236}">
              <a16:creationId xmlns:a16="http://schemas.microsoft.com/office/drawing/2014/main" id="{2EAFEC7A-CA3D-4ABC-8B33-013F6ECA17AA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2DD60063-C66E-42E3-8F9B-BECC78E94B12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5" name="Cerrar llave 144">
          <a:extLst>
            <a:ext uri="{FF2B5EF4-FFF2-40B4-BE49-F238E27FC236}">
              <a16:creationId xmlns:a16="http://schemas.microsoft.com/office/drawing/2014/main" id="{DAF8D98D-6C7D-4CCA-819B-5E71F4A739A0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90D3786D-643F-489D-9E81-37D5EF830819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69E45482-964B-4446-A3FA-5D45C521C7D9}"/>
            </a:ext>
          </a:extLst>
        </xdr:cNvPr>
        <xdr:cNvCxnSpPr/>
      </xdr:nvCxnSpPr>
      <xdr:spPr>
        <a:xfrm flipH="1" flipV="1">
          <a:off x="1466278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78DF5684-9833-4933-9A5C-CFD40E627773}"/>
            </a:ext>
          </a:extLst>
        </xdr:cNvPr>
        <xdr:cNvCxnSpPr/>
      </xdr:nvCxnSpPr>
      <xdr:spPr>
        <a:xfrm flipH="1" flipV="1">
          <a:off x="1466278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</xdr:row>
      <xdr:rowOff>846667</xdr:rowOff>
    </xdr:from>
    <xdr:to>
      <xdr:col>32</xdr:col>
      <xdr:colOff>0</xdr:colOff>
      <xdr:row>12</xdr:row>
      <xdr:rowOff>899583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1B798CD4-2F15-4603-B0C4-C8AC4394CB55}"/>
            </a:ext>
          </a:extLst>
        </xdr:cNvPr>
        <xdr:cNvCxnSpPr/>
      </xdr:nvCxnSpPr>
      <xdr:spPr>
        <a:xfrm flipH="1" flipV="1">
          <a:off x="148142325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396875</xdr:colOff>
      <xdr:row>23</xdr:row>
      <xdr:rowOff>0</xdr:rowOff>
    </xdr:from>
    <xdr:to>
      <xdr:col>30</xdr:col>
      <xdr:colOff>2143125</xdr:colOff>
      <xdr:row>24</xdr:row>
      <xdr:rowOff>1587500</xdr:rowOff>
    </xdr:to>
    <xdr:sp macro="" textlink="">
      <xdr:nvSpPr>
        <xdr:cNvPr id="150" name="Cerrar llave 149">
          <a:extLst>
            <a:ext uri="{FF2B5EF4-FFF2-40B4-BE49-F238E27FC236}">
              <a16:creationId xmlns:a16="http://schemas.microsoft.com/office/drawing/2014/main" id="{306438D2-BFC8-4DA9-A5D8-2D746214C361}"/>
            </a:ext>
          </a:extLst>
        </xdr:cNvPr>
        <xdr:cNvSpPr/>
      </xdr:nvSpPr>
      <xdr:spPr>
        <a:xfrm>
          <a:off x="144805400" y="3354705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26</xdr:row>
      <xdr:rowOff>0</xdr:rowOff>
    </xdr:from>
    <xdr:to>
      <xdr:col>30</xdr:col>
      <xdr:colOff>2063750</xdr:colOff>
      <xdr:row>27</xdr:row>
      <xdr:rowOff>1587500</xdr:rowOff>
    </xdr:to>
    <xdr:sp macro="" textlink="">
      <xdr:nvSpPr>
        <xdr:cNvPr id="151" name="Cerrar llave 150">
          <a:extLst>
            <a:ext uri="{FF2B5EF4-FFF2-40B4-BE49-F238E27FC236}">
              <a16:creationId xmlns:a16="http://schemas.microsoft.com/office/drawing/2014/main" id="{679A18EB-4CC9-47BB-8B95-5828AD222747}"/>
            </a:ext>
          </a:extLst>
        </xdr:cNvPr>
        <xdr:cNvSpPr/>
      </xdr:nvSpPr>
      <xdr:spPr>
        <a:xfrm>
          <a:off x="144726025" y="37747575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238125</xdr:colOff>
      <xdr:row>29</xdr:row>
      <xdr:rowOff>0</xdr:rowOff>
    </xdr:from>
    <xdr:to>
      <xdr:col>30</xdr:col>
      <xdr:colOff>1984375</xdr:colOff>
      <xdr:row>30</xdr:row>
      <xdr:rowOff>1587500</xdr:rowOff>
    </xdr:to>
    <xdr:sp macro="" textlink="">
      <xdr:nvSpPr>
        <xdr:cNvPr id="152" name="Cerrar llave 151">
          <a:extLst>
            <a:ext uri="{FF2B5EF4-FFF2-40B4-BE49-F238E27FC236}">
              <a16:creationId xmlns:a16="http://schemas.microsoft.com/office/drawing/2014/main" id="{DD240473-7952-481B-A4C1-DC0E3332DC70}"/>
            </a:ext>
          </a:extLst>
        </xdr:cNvPr>
        <xdr:cNvSpPr/>
      </xdr:nvSpPr>
      <xdr:spPr>
        <a:xfrm>
          <a:off x="144646650" y="4194810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32</xdr:row>
      <xdr:rowOff>0</xdr:rowOff>
    </xdr:from>
    <xdr:to>
      <xdr:col>30</xdr:col>
      <xdr:colOff>2143125</xdr:colOff>
      <xdr:row>33</xdr:row>
      <xdr:rowOff>1428750</xdr:rowOff>
    </xdr:to>
    <xdr:sp macro="" textlink="">
      <xdr:nvSpPr>
        <xdr:cNvPr id="153" name="Cerrar llave 152">
          <a:extLst>
            <a:ext uri="{FF2B5EF4-FFF2-40B4-BE49-F238E27FC236}">
              <a16:creationId xmlns:a16="http://schemas.microsoft.com/office/drawing/2014/main" id="{090E7375-8D9B-4C40-B231-0F640E4940CE}"/>
            </a:ext>
          </a:extLst>
        </xdr:cNvPr>
        <xdr:cNvSpPr/>
      </xdr:nvSpPr>
      <xdr:spPr>
        <a:xfrm>
          <a:off x="144805400" y="46148625"/>
          <a:ext cx="1746250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35</xdr:row>
      <xdr:rowOff>79375</xdr:rowOff>
    </xdr:from>
    <xdr:to>
      <xdr:col>30</xdr:col>
      <xdr:colOff>2143125</xdr:colOff>
      <xdr:row>36</xdr:row>
      <xdr:rowOff>1508125</xdr:rowOff>
    </xdr:to>
    <xdr:sp macro="" textlink="">
      <xdr:nvSpPr>
        <xdr:cNvPr id="154" name="Cerrar llave 153">
          <a:extLst>
            <a:ext uri="{FF2B5EF4-FFF2-40B4-BE49-F238E27FC236}">
              <a16:creationId xmlns:a16="http://schemas.microsoft.com/office/drawing/2014/main" id="{34370729-8086-4E90-948B-FFA16CB2BCCF}"/>
            </a:ext>
          </a:extLst>
        </xdr:cNvPr>
        <xdr:cNvSpPr/>
      </xdr:nvSpPr>
      <xdr:spPr>
        <a:xfrm>
          <a:off x="144805400" y="50428525"/>
          <a:ext cx="1746250" cy="2724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635001</xdr:colOff>
      <xdr:row>70</xdr:row>
      <xdr:rowOff>158750</xdr:rowOff>
    </xdr:from>
    <xdr:to>
      <xdr:col>30</xdr:col>
      <xdr:colOff>2143125</xdr:colOff>
      <xdr:row>71</xdr:row>
      <xdr:rowOff>2778125</xdr:rowOff>
    </xdr:to>
    <xdr:sp macro="" textlink="">
      <xdr:nvSpPr>
        <xdr:cNvPr id="155" name="Cerrar llave 154">
          <a:extLst>
            <a:ext uri="{FF2B5EF4-FFF2-40B4-BE49-F238E27FC236}">
              <a16:creationId xmlns:a16="http://schemas.microsoft.com/office/drawing/2014/main" id="{7EFC5EE9-6036-4364-9458-C104B12C43AC}"/>
            </a:ext>
          </a:extLst>
        </xdr:cNvPr>
        <xdr:cNvSpPr/>
      </xdr:nvSpPr>
      <xdr:spPr>
        <a:xfrm>
          <a:off x="145043526" y="103485950"/>
          <a:ext cx="1508124" cy="2714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73</xdr:row>
      <xdr:rowOff>79375</xdr:rowOff>
    </xdr:from>
    <xdr:to>
      <xdr:col>31</xdr:col>
      <xdr:colOff>79375</xdr:colOff>
      <xdr:row>74</xdr:row>
      <xdr:rowOff>1508125</xdr:rowOff>
    </xdr:to>
    <xdr:sp macro="" textlink="">
      <xdr:nvSpPr>
        <xdr:cNvPr id="156" name="Cerrar llave 155">
          <a:extLst>
            <a:ext uri="{FF2B5EF4-FFF2-40B4-BE49-F238E27FC236}">
              <a16:creationId xmlns:a16="http://schemas.microsoft.com/office/drawing/2014/main" id="{A3E1EF2B-E893-4F15-8906-A5BB35201773}"/>
            </a:ext>
          </a:extLst>
        </xdr:cNvPr>
        <xdr:cNvSpPr/>
      </xdr:nvSpPr>
      <xdr:spPr>
        <a:xfrm>
          <a:off x="144964150" y="107721400"/>
          <a:ext cx="1743075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75</xdr:row>
      <xdr:rowOff>158750</xdr:rowOff>
    </xdr:from>
    <xdr:to>
      <xdr:col>31</xdr:col>
      <xdr:colOff>79375</xdr:colOff>
      <xdr:row>76</xdr:row>
      <xdr:rowOff>1746250</xdr:rowOff>
    </xdr:to>
    <xdr:sp macro="" textlink="">
      <xdr:nvSpPr>
        <xdr:cNvPr id="157" name="Cerrar llave 156">
          <a:extLst>
            <a:ext uri="{FF2B5EF4-FFF2-40B4-BE49-F238E27FC236}">
              <a16:creationId xmlns:a16="http://schemas.microsoft.com/office/drawing/2014/main" id="{F72ED113-714A-4FB4-9B3F-2CAB5D21CDF1}"/>
            </a:ext>
          </a:extLst>
        </xdr:cNvPr>
        <xdr:cNvSpPr/>
      </xdr:nvSpPr>
      <xdr:spPr>
        <a:xfrm>
          <a:off x="144964150" y="110677325"/>
          <a:ext cx="1743075" cy="27209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77</xdr:row>
      <xdr:rowOff>0</xdr:rowOff>
    </xdr:from>
    <xdr:to>
      <xdr:col>30</xdr:col>
      <xdr:colOff>2143125</xdr:colOff>
      <xdr:row>78</xdr:row>
      <xdr:rowOff>1587500</xdr:rowOff>
    </xdr:to>
    <xdr:sp macro="" textlink="">
      <xdr:nvSpPr>
        <xdr:cNvPr id="158" name="Cerrar llave 157">
          <a:extLst>
            <a:ext uri="{FF2B5EF4-FFF2-40B4-BE49-F238E27FC236}">
              <a16:creationId xmlns:a16="http://schemas.microsoft.com/office/drawing/2014/main" id="{F73EBB64-4B96-4470-B680-7804A09A601F}"/>
            </a:ext>
          </a:extLst>
        </xdr:cNvPr>
        <xdr:cNvSpPr/>
      </xdr:nvSpPr>
      <xdr:spPr>
        <a:xfrm>
          <a:off x="144805400" y="113395125"/>
          <a:ext cx="1746250" cy="2873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476250</xdr:colOff>
      <xdr:row>79</xdr:row>
      <xdr:rowOff>0</xdr:rowOff>
    </xdr:from>
    <xdr:to>
      <xdr:col>31</xdr:col>
      <xdr:colOff>0</xdr:colOff>
      <xdr:row>80</xdr:row>
      <xdr:rowOff>1428750</xdr:rowOff>
    </xdr:to>
    <xdr:sp macro="" textlink="">
      <xdr:nvSpPr>
        <xdr:cNvPr id="159" name="Cerrar llave 158">
          <a:extLst>
            <a:ext uri="{FF2B5EF4-FFF2-40B4-BE49-F238E27FC236}">
              <a16:creationId xmlns:a16="http://schemas.microsoft.com/office/drawing/2014/main" id="{5034DD2C-7BFC-415E-9766-BB9F74AF4EA8}"/>
            </a:ext>
          </a:extLst>
        </xdr:cNvPr>
        <xdr:cNvSpPr/>
      </xdr:nvSpPr>
      <xdr:spPr>
        <a:xfrm>
          <a:off x="144884775" y="116271675"/>
          <a:ext cx="1743075" cy="14382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92</xdr:row>
      <xdr:rowOff>396874</xdr:rowOff>
    </xdr:from>
    <xdr:to>
      <xdr:col>31</xdr:col>
      <xdr:colOff>0</xdr:colOff>
      <xdr:row>101</xdr:row>
      <xdr:rowOff>1349374</xdr:rowOff>
    </xdr:to>
    <xdr:sp macro="" textlink="">
      <xdr:nvSpPr>
        <xdr:cNvPr id="160" name="Cerrar llave 159">
          <a:extLst>
            <a:ext uri="{FF2B5EF4-FFF2-40B4-BE49-F238E27FC236}">
              <a16:creationId xmlns:a16="http://schemas.microsoft.com/office/drawing/2014/main" id="{CD5EA120-F5E6-466F-AE25-0B56F79168C5}"/>
            </a:ext>
          </a:extLst>
        </xdr:cNvPr>
        <xdr:cNvSpPr/>
      </xdr:nvSpPr>
      <xdr:spPr>
        <a:xfrm>
          <a:off x="144726025" y="126577725"/>
          <a:ext cx="1901825" cy="10106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111</xdr:row>
      <xdr:rowOff>79375</xdr:rowOff>
    </xdr:from>
    <xdr:to>
      <xdr:col>30</xdr:col>
      <xdr:colOff>2063750</xdr:colOff>
      <xdr:row>122</xdr:row>
      <xdr:rowOff>1587500</xdr:rowOff>
    </xdr:to>
    <xdr:sp macro="" textlink="">
      <xdr:nvSpPr>
        <xdr:cNvPr id="161" name="Cerrar llave 160">
          <a:extLst>
            <a:ext uri="{FF2B5EF4-FFF2-40B4-BE49-F238E27FC236}">
              <a16:creationId xmlns:a16="http://schemas.microsoft.com/office/drawing/2014/main" id="{265DB96C-0B9E-446B-A59D-8E5D2FD5CECC}"/>
            </a:ext>
          </a:extLst>
        </xdr:cNvPr>
        <xdr:cNvSpPr/>
      </xdr:nvSpPr>
      <xdr:spPr>
        <a:xfrm>
          <a:off x="144726025" y="145837275"/>
          <a:ext cx="1746250" cy="86264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206375</xdr:colOff>
      <xdr:row>125</xdr:row>
      <xdr:rowOff>79375</xdr:rowOff>
    </xdr:from>
    <xdr:to>
      <xdr:col>31</xdr:col>
      <xdr:colOff>47625</xdr:colOff>
      <xdr:row>132</xdr:row>
      <xdr:rowOff>0</xdr:rowOff>
    </xdr:to>
    <xdr:sp macro="" textlink="">
      <xdr:nvSpPr>
        <xdr:cNvPr id="162" name="Cerrar llave 161">
          <a:extLst>
            <a:ext uri="{FF2B5EF4-FFF2-40B4-BE49-F238E27FC236}">
              <a16:creationId xmlns:a16="http://schemas.microsoft.com/office/drawing/2014/main" id="{730BEF21-6852-4FEE-8ABE-DBE91E82EA5B}"/>
            </a:ext>
          </a:extLst>
        </xdr:cNvPr>
        <xdr:cNvSpPr/>
      </xdr:nvSpPr>
      <xdr:spPr>
        <a:xfrm>
          <a:off x="144614900" y="157343475"/>
          <a:ext cx="2060575" cy="4076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635000</xdr:colOff>
      <xdr:row>136</xdr:row>
      <xdr:rowOff>1</xdr:rowOff>
    </xdr:from>
    <xdr:to>
      <xdr:col>31</xdr:col>
      <xdr:colOff>79375</xdr:colOff>
      <xdr:row>137</xdr:row>
      <xdr:rowOff>0</xdr:rowOff>
    </xdr:to>
    <xdr:sp macro="" textlink="">
      <xdr:nvSpPr>
        <xdr:cNvPr id="163" name="Cerrar llave 162">
          <a:extLst>
            <a:ext uri="{FF2B5EF4-FFF2-40B4-BE49-F238E27FC236}">
              <a16:creationId xmlns:a16="http://schemas.microsoft.com/office/drawing/2014/main" id="{0C363D45-3866-429D-AA0C-D53026D34CDD}"/>
            </a:ext>
          </a:extLst>
        </xdr:cNvPr>
        <xdr:cNvSpPr/>
      </xdr:nvSpPr>
      <xdr:spPr>
        <a:xfrm>
          <a:off x="145043525" y="166582726"/>
          <a:ext cx="1663700" cy="185737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163</xdr:row>
      <xdr:rowOff>1</xdr:rowOff>
    </xdr:from>
    <xdr:to>
      <xdr:col>30</xdr:col>
      <xdr:colOff>2063750</xdr:colOff>
      <xdr:row>170</xdr:row>
      <xdr:rowOff>840442</xdr:rowOff>
    </xdr:to>
    <xdr:sp macro="" textlink="">
      <xdr:nvSpPr>
        <xdr:cNvPr id="164" name="Cerrar llave 163">
          <a:extLst>
            <a:ext uri="{FF2B5EF4-FFF2-40B4-BE49-F238E27FC236}">
              <a16:creationId xmlns:a16="http://schemas.microsoft.com/office/drawing/2014/main" id="{DA789BB4-C32C-42D3-A99D-0A1922852B49}"/>
            </a:ext>
          </a:extLst>
        </xdr:cNvPr>
        <xdr:cNvSpPr/>
      </xdr:nvSpPr>
      <xdr:spPr>
        <a:xfrm>
          <a:off x="144408525" y="200196451"/>
          <a:ext cx="2063750" cy="1184181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3</xdr:row>
      <xdr:rowOff>79375</xdr:rowOff>
    </xdr:from>
    <xdr:to>
      <xdr:col>31</xdr:col>
      <xdr:colOff>158750</xdr:colOff>
      <xdr:row>9</xdr:row>
      <xdr:rowOff>158750</xdr:rowOff>
    </xdr:to>
    <xdr:sp macro="" textlink="">
      <xdr:nvSpPr>
        <xdr:cNvPr id="165" name="Cerrar llave 164">
          <a:extLst>
            <a:ext uri="{FF2B5EF4-FFF2-40B4-BE49-F238E27FC236}">
              <a16:creationId xmlns:a16="http://schemas.microsoft.com/office/drawing/2014/main" id="{BCBA3B20-897E-4278-A69A-82EA6FAC437F}"/>
            </a:ext>
          </a:extLst>
        </xdr:cNvPr>
        <xdr:cNvSpPr/>
      </xdr:nvSpPr>
      <xdr:spPr>
        <a:xfrm>
          <a:off x="144726025" y="5184775"/>
          <a:ext cx="2060575" cy="8937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9</xdr:row>
      <xdr:rowOff>555625</xdr:rowOff>
    </xdr:from>
    <xdr:to>
      <xdr:col>31</xdr:col>
      <xdr:colOff>238125</xdr:colOff>
      <xdr:row>19</xdr:row>
      <xdr:rowOff>1587500</xdr:rowOff>
    </xdr:to>
    <xdr:sp macro="" textlink="">
      <xdr:nvSpPr>
        <xdr:cNvPr id="166" name="Cerrar llave 165">
          <a:extLst>
            <a:ext uri="{FF2B5EF4-FFF2-40B4-BE49-F238E27FC236}">
              <a16:creationId xmlns:a16="http://schemas.microsoft.com/office/drawing/2014/main" id="{945FA1E9-A412-4CFA-A5A9-75D07889D8AE}"/>
            </a:ext>
          </a:extLst>
        </xdr:cNvPr>
        <xdr:cNvSpPr/>
      </xdr:nvSpPr>
      <xdr:spPr>
        <a:xfrm>
          <a:off x="144805400" y="14519275"/>
          <a:ext cx="2060575" cy="148240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106</xdr:row>
      <xdr:rowOff>0</xdr:rowOff>
    </xdr:from>
    <xdr:to>
      <xdr:col>30</xdr:col>
      <xdr:colOff>1923677</xdr:colOff>
      <xdr:row>107</xdr:row>
      <xdr:rowOff>0</xdr:rowOff>
    </xdr:to>
    <xdr:sp macro="" textlink="">
      <xdr:nvSpPr>
        <xdr:cNvPr id="167" name="Cerrar llave 166">
          <a:extLst>
            <a:ext uri="{FF2B5EF4-FFF2-40B4-BE49-F238E27FC236}">
              <a16:creationId xmlns:a16="http://schemas.microsoft.com/office/drawing/2014/main" id="{E0F948A1-F346-43C4-8DDD-5A7D6864513E}"/>
            </a:ext>
          </a:extLst>
        </xdr:cNvPr>
        <xdr:cNvSpPr/>
      </xdr:nvSpPr>
      <xdr:spPr>
        <a:xfrm>
          <a:off x="144408525" y="143017875"/>
          <a:ext cx="1923677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EA756B85-9E92-45E4-9F60-4CC30AED3CCC}"/>
            </a:ext>
          </a:extLst>
        </xdr:cNvPr>
        <xdr:cNvCxnSpPr/>
      </xdr:nvCxnSpPr>
      <xdr:spPr>
        <a:xfrm flipH="1" flipV="1">
          <a:off x="1466278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A64A746A-496B-43A9-9CDC-0A3618F9C570}"/>
            </a:ext>
          </a:extLst>
        </xdr:cNvPr>
        <xdr:cNvCxnSpPr/>
      </xdr:nvCxnSpPr>
      <xdr:spPr>
        <a:xfrm flipH="1" flipV="1">
          <a:off x="1466278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</xdr:row>
      <xdr:rowOff>846667</xdr:rowOff>
    </xdr:from>
    <xdr:to>
      <xdr:col>32</xdr:col>
      <xdr:colOff>0</xdr:colOff>
      <xdr:row>11</xdr:row>
      <xdr:rowOff>899583</xdr:rowOff>
    </xdr:to>
    <xdr:cxnSp macro="">
      <xdr:nvCxnSpPr>
        <xdr:cNvPr id="170" name="Conector recto 169">
          <a:extLst>
            <a:ext uri="{FF2B5EF4-FFF2-40B4-BE49-F238E27FC236}">
              <a16:creationId xmlns:a16="http://schemas.microsoft.com/office/drawing/2014/main" id="{4037870A-0464-4A33-BB21-47B8546A1D09}"/>
            </a:ext>
          </a:extLst>
        </xdr:cNvPr>
        <xdr:cNvCxnSpPr/>
      </xdr:nvCxnSpPr>
      <xdr:spPr>
        <a:xfrm flipH="1" flipV="1">
          <a:off x="148142325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8683625</xdr:colOff>
      <xdr:row>40</xdr:row>
      <xdr:rowOff>269875</xdr:rowOff>
    </xdr:from>
    <xdr:to>
      <xdr:col>30</xdr:col>
      <xdr:colOff>1666875</xdr:colOff>
      <xdr:row>54</xdr:row>
      <xdr:rowOff>190500</xdr:rowOff>
    </xdr:to>
    <xdr:sp macro="" textlink="">
      <xdr:nvSpPr>
        <xdr:cNvPr id="171" name="Cerrar llave 170">
          <a:extLst>
            <a:ext uri="{FF2B5EF4-FFF2-40B4-BE49-F238E27FC236}">
              <a16:creationId xmlns:a16="http://schemas.microsoft.com/office/drawing/2014/main" id="{B68D2469-7A8C-4A69-A4FB-03F7B6D7C085}"/>
            </a:ext>
          </a:extLst>
        </xdr:cNvPr>
        <xdr:cNvSpPr/>
      </xdr:nvSpPr>
      <xdr:spPr>
        <a:xfrm>
          <a:off x="144291050" y="58810525"/>
          <a:ext cx="1784350" cy="23552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107</xdr:row>
      <xdr:rowOff>0</xdr:rowOff>
    </xdr:from>
    <xdr:to>
      <xdr:col>30</xdr:col>
      <xdr:colOff>1923677</xdr:colOff>
      <xdr:row>108</xdr:row>
      <xdr:rowOff>0</xdr:rowOff>
    </xdr:to>
    <xdr:sp macro="" textlink="">
      <xdr:nvSpPr>
        <xdr:cNvPr id="172" name="Cerrar llave 171">
          <a:extLst>
            <a:ext uri="{FF2B5EF4-FFF2-40B4-BE49-F238E27FC236}">
              <a16:creationId xmlns:a16="http://schemas.microsoft.com/office/drawing/2014/main" id="{66B20EC2-7689-417C-B22A-6DF4A62AF5B9}"/>
            </a:ext>
          </a:extLst>
        </xdr:cNvPr>
        <xdr:cNvSpPr/>
      </xdr:nvSpPr>
      <xdr:spPr>
        <a:xfrm>
          <a:off x="144408525" y="143017875"/>
          <a:ext cx="1923677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53975</xdr:colOff>
      <xdr:row>20</xdr:row>
      <xdr:rowOff>990600</xdr:rowOff>
    </xdr:from>
    <xdr:to>
      <xdr:col>30</xdr:col>
      <xdr:colOff>1800225</xdr:colOff>
      <xdr:row>22</xdr:row>
      <xdr:rowOff>958850</xdr:rowOff>
    </xdr:to>
    <xdr:sp macro="" textlink="">
      <xdr:nvSpPr>
        <xdr:cNvPr id="173" name="Cerrar llave 172">
          <a:extLst>
            <a:ext uri="{FF2B5EF4-FFF2-40B4-BE49-F238E27FC236}">
              <a16:creationId xmlns:a16="http://schemas.microsoft.com/office/drawing/2014/main" id="{9A5E89A5-1CF0-45B7-B3D5-4BCC53857DCA}"/>
            </a:ext>
          </a:extLst>
        </xdr:cNvPr>
        <xdr:cNvSpPr/>
      </xdr:nvSpPr>
      <xdr:spPr>
        <a:xfrm>
          <a:off x="144462500" y="30337125"/>
          <a:ext cx="1746250" cy="27686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812E-30A9-4931-BCDC-8A2CB2305DF5}">
  <dimension ref="A1:AP195"/>
  <sheetViews>
    <sheetView view="pageBreakPreview" topLeftCell="H155" zoomScale="10" zoomScaleNormal="10" zoomScaleSheetLayoutView="10" workbookViewId="0">
      <selection activeCell="AD164" sqref="AD164:AE171"/>
    </sheetView>
  </sheetViews>
  <sheetFormatPr baseColWidth="10" defaultRowHeight="165" x14ac:dyDescent="2.35"/>
  <cols>
    <col min="1" max="1" width="18.5703125" customWidth="1"/>
    <col min="2" max="2" width="192" style="107" customWidth="1"/>
    <col min="3" max="24" width="58.7109375" style="54" customWidth="1"/>
    <col min="25" max="25" width="84.28515625" style="54" customWidth="1"/>
    <col min="26" max="26" width="95.7109375" style="125" hidden="1" customWidth="1"/>
    <col min="27" max="27" width="58.28515625" style="54" customWidth="1"/>
    <col min="28" max="28" width="115.42578125" style="54" customWidth="1"/>
    <col min="29" max="29" width="177.5703125" style="110" customWidth="1"/>
    <col min="30" max="30" width="42.28515625" style="110" customWidth="1"/>
    <col min="31" max="31" width="52.28515625" style="110" customWidth="1"/>
    <col min="32" max="32" width="132" style="102" customWidth="1"/>
    <col min="33" max="33" width="33.28515625" style="102" customWidth="1"/>
    <col min="34" max="34" width="22.7109375" style="2" customWidth="1"/>
    <col min="35" max="35" width="32.5703125" style="2" customWidth="1"/>
    <col min="36" max="36" width="23.28515625" style="2" customWidth="1"/>
    <col min="37" max="37" width="11.42578125" style="2"/>
    <col min="38" max="38" width="35.28515625" style="2" customWidth="1"/>
    <col min="39" max="39" width="31.5703125" style="3" customWidth="1"/>
    <col min="40" max="40" width="11.42578125" style="3"/>
  </cols>
  <sheetData>
    <row r="1" spans="1:42" ht="126" customHeight="1" x14ac:dyDescent="2.35">
      <c r="B1" s="174" t="s">
        <v>211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"/>
      <c r="AH1" s="1"/>
    </row>
    <row r="2" spans="1:42" s="4" customFormat="1" ht="138" customHeight="1" x14ac:dyDescent="2.35">
      <c r="B2" s="172" t="s">
        <v>1</v>
      </c>
      <c r="C2" s="142" t="s">
        <v>2</v>
      </c>
      <c r="D2" s="143"/>
      <c r="E2" s="142" t="s">
        <v>3</v>
      </c>
      <c r="F2" s="143"/>
      <c r="G2" s="142" t="s">
        <v>4</v>
      </c>
      <c r="H2" s="143"/>
      <c r="I2" s="142" t="s">
        <v>5</v>
      </c>
      <c r="J2" s="143"/>
      <c r="K2" s="142" t="s">
        <v>6</v>
      </c>
      <c r="L2" s="143"/>
      <c r="M2" s="142" t="s">
        <v>7</v>
      </c>
      <c r="N2" s="143"/>
      <c r="O2" s="142" t="s">
        <v>8</v>
      </c>
      <c r="P2" s="143"/>
      <c r="Q2" s="142" t="s">
        <v>9</v>
      </c>
      <c r="R2" s="143"/>
      <c r="S2" s="142" t="s">
        <v>10</v>
      </c>
      <c r="T2" s="143"/>
      <c r="U2" s="142" t="s">
        <v>11</v>
      </c>
      <c r="V2" s="143"/>
      <c r="W2" s="142" t="s">
        <v>12</v>
      </c>
      <c r="X2" s="143"/>
      <c r="Y2" s="172" t="s">
        <v>13</v>
      </c>
      <c r="Z2" s="247" t="s">
        <v>210</v>
      </c>
      <c r="AA2" s="172" t="s">
        <v>14</v>
      </c>
      <c r="AB2" s="172" t="s">
        <v>15</v>
      </c>
      <c r="AC2" s="172" t="s">
        <v>1</v>
      </c>
      <c r="AD2" s="148" t="s">
        <v>16</v>
      </c>
      <c r="AE2" s="149"/>
      <c r="AF2" s="6" t="s">
        <v>17</v>
      </c>
      <c r="AG2" s="7"/>
      <c r="AH2" s="2"/>
      <c r="AI2" s="2"/>
      <c r="AJ2" s="2"/>
      <c r="AK2" s="2"/>
      <c r="AL2" s="2"/>
      <c r="AM2" s="8"/>
      <c r="AN2" s="8"/>
    </row>
    <row r="3" spans="1:42" s="4" customFormat="1" ht="138" customHeight="1" thickBot="1" x14ac:dyDescent="2.4">
      <c r="B3" s="173"/>
      <c r="C3" s="9" t="s">
        <v>18</v>
      </c>
      <c r="D3" s="9" t="s">
        <v>19</v>
      </c>
      <c r="E3" s="9" t="s">
        <v>18</v>
      </c>
      <c r="F3" s="9" t="s">
        <v>19</v>
      </c>
      <c r="G3" s="9" t="s">
        <v>18</v>
      </c>
      <c r="H3" s="9" t="s">
        <v>19</v>
      </c>
      <c r="I3" s="9" t="s">
        <v>18</v>
      </c>
      <c r="J3" s="9" t="s">
        <v>19</v>
      </c>
      <c r="K3" s="9" t="s">
        <v>18</v>
      </c>
      <c r="L3" s="9" t="s">
        <v>19</v>
      </c>
      <c r="M3" s="9" t="s">
        <v>18</v>
      </c>
      <c r="N3" s="9" t="s">
        <v>19</v>
      </c>
      <c r="O3" s="9" t="s">
        <v>18</v>
      </c>
      <c r="P3" s="9" t="s">
        <v>19</v>
      </c>
      <c r="Q3" s="9" t="s">
        <v>18</v>
      </c>
      <c r="R3" s="9" t="s">
        <v>19</v>
      </c>
      <c r="S3" s="9" t="s">
        <v>18</v>
      </c>
      <c r="T3" s="9" t="s">
        <v>19</v>
      </c>
      <c r="U3" s="9" t="s">
        <v>18</v>
      </c>
      <c r="V3" s="9" t="s">
        <v>19</v>
      </c>
      <c r="W3" s="9" t="s">
        <v>18</v>
      </c>
      <c r="X3" s="9" t="s">
        <v>19</v>
      </c>
      <c r="Y3" s="173"/>
      <c r="Z3" s="248"/>
      <c r="AA3" s="173"/>
      <c r="AB3" s="173"/>
      <c r="AC3" s="173"/>
      <c r="AD3" s="10"/>
      <c r="AE3" s="11"/>
      <c r="AF3" s="6"/>
      <c r="AG3" s="7"/>
      <c r="AH3" s="2"/>
      <c r="AI3" s="2"/>
      <c r="AJ3" s="2"/>
      <c r="AK3" s="2"/>
      <c r="AL3" s="2"/>
      <c r="AM3" s="8"/>
      <c r="AN3" s="8"/>
    </row>
    <row r="4" spans="1:42" s="12" customFormat="1" ht="110.25" customHeight="1" x14ac:dyDescent="2.1">
      <c r="B4" s="13" t="s">
        <v>20</v>
      </c>
      <c r="C4" s="14">
        <v>0</v>
      </c>
      <c r="D4" s="14">
        <v>25</v>
      </c>
      <c r="E4" s="14">
        <v>0</v>
      </c>
      <c r="F4" s="14">
        <v>34</v>
      </c>
      <c r="G4" s="14">
        <v>0</v>
      </c>
      <c r="H4" s="14">
        <v>52</v>
      </c>
      <c r="I4" s="14">
        <v>0</v>
      </c>
      <c r="J4" s="14">
        <v>22</v>
      </c>
      <c r="K4" s="14">
        <v>0</v>
      </c>
      <c r="L4" s="14">
        <v>25</v>
      </c>
      <c r="M4" s="14">
        <v>0</v>
      </c>
      <c r="N4" s="14">
        <v>25</v>
      </c>
      <c r="O4" s="14">
        <v>14</v>
      </c>
      <c r="P4" s="14">
        <v>32</v>
      </c>
      <c r="Q4" s="14">
        <v>6</v>
      </c>
      <c r="R4" s="14">
        <v>33</v>
      </c>
      <c r="S4" s="14">
        <v>5</v>
      </c>
      <c r="T4" s="14">
        <v>15</v>
      </c>
      <c r="U4" s="14">
        <v>2</v>
      </c>
      <c r="V4" s="14">
        <v>17</v>
      </c>
      <c r="W4" s="14">
        <v>8</v>
      </c>
      <c r="X4" s="14">
        <v>24</v>
      </c>
      <c r="Y4" s="14">
        <v>0</v>
      </c>
      <c r="Z4" s="113">
        <v>245000</v>
      </c>
      <c r="AA4" s="14">
        <f>SUM(C4,E4,G4,I4,K4,M4,O4,Q4,S4,U4,W4,Y4)</f>
        <v>35</v>
      </c>
      <c r="AB4" s="244">
        <f>SUM(D9,F9,H9,J9,L9,N9,P9,R9,T9,V9,X9)</f>
        <v>304</v>
      </c>
      <c r="AC4" s="15" t="s">
        <v>20</v>
      </c>
      <c r="AE4" s="160">
        <f>SUM(AA4,AD5,AD6,AD7,AD8)</f>
        <v>127</v>
      </c>
      <c r="AF4" s="16">
        <f>Z4</f>
        <v>245000</v>
      </c>
      <c r="AG4" s="17"/>
      <c r="AH4" s="188" t="s">
        <v>21</v>
      </c>
      <c r="AI4" s="189"/>
      <c r="AJ4" s="189"/>
      <c r="AK4" s="189"/>
      <c r="AL4" s="190"/>
      <c r="AM4" s="237">
        <f>SUM(AF4:AF59)-AF20</f>
        <v>10835540</v>
      </c>
      <c r="AN4" s="238"/>
    </row>
    <row r="5" spans="1:42" s="12" customFormat="1" ht="110.25" customHeight="1" x14ac:dyDescent="2.1">
      <c r="B5" s="13" t="s">
        <v>22</v>
      </c>
      <c r="C5" s="19">
        <v>0</v>
      </c>
      <c r="D5" s="20"/>
      <c r="E5" s="19">
        <v>0</v>
      </c>
      <c r="F5" s="20"/>
      <c r="G5" s="19">
        <v>0</v>
      </c>
      <c r="H5" s="20"/>
      <c r="I5" s="19">
        <v>0</v>
      </c>
      <c r="J5" s="20"/>
      <c r="K5" s="19">
        <v>0</v>
      </c>
      <c r="L5" s="20"/>
      <c r="M5" s="19">
        <v>0</v>
      </c>
      <c r="N5" s="20"/>
      <c r="O5" s="19">
        <v>0</v>
      </c>
      <c r="P5" s="20"/>
      <c r="Q5" s="19">
        <v>0</v>
      </c>
      <c r="R5" s="20"/>
      <c r="S5" s="19">
        <v>0</v>
      </c>
      <c r="T5" s="20"/>
      <c r="U5" s="19">
        <v>0</v>
      </c>
      <c r="V5" s="20"/>
      <c r="W5" s="19">
        <v>0</v>
      </c>
      <c r="X5" s="20"/>
      <c r="Y5" s="14">
        <v>0</v>
      </c>
      <c r="Z5" s="113">
        <v>0</v>
      </c>
      <c r="AA5" s="14">
        <f>SUM(C5:Y5)</f>
        <v>0</v>
      </c>
      <c r="AB5" s="245"/>
      <c r="AC5" s="13" t="s">
        <v>22</v>
      </c>
      <c r="AD5" s="21">
        <f>AA5*4</f>
        <v>0</v>
      </c>
      <c r="AE5" s="162"/>
      <c r="AF5" s="16">
        <f>Z5</f>
        <v>0</v>
      </c>
      <c r="AG5" s="17"/>
      <c r="AH5" s="191"/>
      <c r="AI5" s="192"/>
      <c r="AJ5" s="192"/>
      <c r="AK5" s="192"/>
      <c r="AL5" s="193"/>
      <c r="AM5" s="239"/>
      <c r="AN5" s="238"/>
    </row>
    <row r="6" spans="1:42" s="12" customFormat="1" ht="110.25" customHeight="1" x14ac:dyDescent="2.1">
      <c r="B6" s="13" t="s">
        <v>23</v>
      </c>
      <c r="C6" s="19">
        <v>0</v>
      </c>
      <c r="D6" s="20"/>
      <c r="E6" s="19">
        <v>0</v>
      </c>
      <c r="F6" s="20"/>
      <c r="G6" s="19">
        <v>0</v>
      </c>
      <c r="H6" s="20"/>
      <c r="I6" s="19">
        <v>1</v>
      </c>
      <c r="J6" s="20"/>
      <c r="K6" s="19">
        <v>0</v>
      </c>
      <c r="L6" s="20"/>
      <c r="M6" s="19">
        <v>0</v>
      </c>
      <c r="N6" s="20"/>
      <c r="O6" s="19">
        <v>0</v>
      </c>
      <c r="P6" s="20"/>
      <c r="Q6" s="19">
        <v>0</v>
      </c>
      <c r="R6" s="20"/>
      <c r="S6" s="19">
        <v>2</v>
      </c>
      <c r="T6" s="20"/>
      <c r="U6" s="19">
        <v>0</v>
      </c>
      <c r="V6" s="20"/>
      <c r="W6" s="19">
        <v>0</v>
      </c>
      <c r="X6" s="20"/>
      <c r="Y6" s="14">
        <v>1</v>
      </c>
      <c r="Z6" s="113">
        <v>240800</v>
      </c>
      <c r="AA6" s="14">
        <f t="shared" ref="AA6:AA8" si="0">SUM(C6:Y6)</f>
        <v>4</v>
      </c>
      <c r="AB6" s="245"/>
      <c r="AC6" s="15" t="s">
        <v>24</v>
      </c>
      <c r="AD6" s="21">
        <f>AA6*8</f>
        <v>32</v>
      </c>
      <c r="AE6" s="162"/>
      <c r="AF6" s="16">
        <f>Z6</f>
        <v>240800</v>
      </c>
      <c r="AG6" s="17"/>
      <c r="AH6" s="191"/>
      <c r="AI6" s="192"/>
      <c r="AJ6" s="192"/>
      <c r="AK6" s="192"/>
      <c r="AL6" s="193"/>
      <c r="AM6" s="239"/>
      <c r="AN6" s="238"/>
    </row>
    <row r="7" spans="1:42" s="12" customFormat="1" ht="110.25" customHeight="1" x14ac:dyDescent="2.1">
      <c r="B7" s="13" t="s">
        <v>25</v>
      </c>
      <c r="C7" s="19">
        <v>1</v>
      </c>
      <c r="D7" s="20"/>
      <c r="E7" s="19">
        <v>0</v>
      </c>
      <c r="F7" s="20"/>
      <c r="G7" s="19">
        <v>0</v>
      </c>
      <c r="H7" s="20"/>
      <c r="I7" s="19">
        <v>0</v>
      </c>
      <c r="J7" s="20"/>
      <c r="K7" s="19">
        <v>0</v>
      </c>
      <c r="L7" s="20"/>
      <c r="M7" s="19">
        <v>0</v>
      </c>
      <c r="N7" s="20"/>
      <c r="O7" s="19">
        <v>0</v>
      </c>
      <c r="P7" s="20"/>
      <c r="Q7" s="19">
        <v>0</v>
      </c>
      <c r="R7" s="20"/>
      <c r="S7" s="19">
        <v>0</v>
      </c>
      <c r="T7" s="20"/>
      <c r="U7" s="19">
        <v>0</v>
      </c>
      <c r="V7" s="20"/>
      <c r="W7" s="19">
        <v>0</v>
      </c>
      <c r="X7" s="20"/>
      <c r="Y7" s="14">
        <v>0</v>
      </c>
      <c r="Z7" s="113">
        <v>84000</v>
      </c>
      <c r="AA7" s="14">
        <f t="shared" si="0"/>
        <v>1</v>
      </c>
      <c r="AB7" s="245"/>
      <c r="AC7" s="15" t="s">
        <v>26</v>
      </c>
      <c r="AD7" s="21">
        <f>AA7*12</f>
        <v>12</v>
      </c>
      <c r="AE7" s="162"/>
      <c r="AF7" s="16">
        <f t="shared" ref="AF7" si="1">Z7</f>
        <v>84000</v>
      </c>
      <c r="AG7" s="17"/>
      <c r="AH7" s="171">
        <f>SUM(AF4:AF8)</f>
        <v>905800</v>
      </c>
      <c r="AI7" s="169"/>
      <c r="AJ7" s="169"/>
      <c r="AK7" s="169"/>
      <c r="AL7" s="170"/>
      <c r="AM7" s="239"/>
      <c r="AN7" s="238"/>
    </row>
    <row r="8" spans="1:42" s="12" customFormat="1" ht="146.25" x14ac:dyDescent="2.1">
      <c r="B8" s="13" t="s">
        <v>27</v>
      </c>
      <c r="C8" s="19">
        <v>0</v>
      </c>
      <c r="D8" s="20"/>
      <c r="E8" s="19">
        <v>1</v>
      </c>
      <c r="F8" s="20"/>
      <c r="G8" s="19">
        <v>0</v>
      </c>
      <c r="H8" s="20"/>
      <c r="I8" s="19">
        <v>0</v>
      </c>
      <c r="J8" s="20"/>
      <c r="K8" s="19">
        <v>1</v>
      </c>
      <c r="L8" s="20"/>
      <c r="M8" s="19">
        <v>0</v>
      </c>
      <c r="N8" s="20"/>
      <c r="O8" s="19">
        <v>0</v>
      </c>
      <c r="P8" s="20"/>
      <c r="Q8" s="19">
        <v>0</v>
      </c>
      <c r="R8" s="20"/>
      <c r="S8" s="19">
        <v>0</v>
      </c>
      <c r="T8" s="20"/>
      <c r="U8" s="19">
        <v>1</v>
      </c>
      <c r="V8" s="20"/>
      <c r="W8" s="19">
        <v>0</v>
      </c>
      <c r="X8" s="20"/>
      <c r="Y8" s="14">
        <v>0</v>
      </c>
      <c r="Z8" s="113">
        <v>336000</v>
      </c>
      <c r="AA8" s="14">
        <f t="shared" si="0"/>
        <v>3</v>
      </c>
      <c r="AB8" s="246"/>
      <c r="AC8" s="15" t="s">
        <v>28</v>
      </c>
      <c r="AD8" s="21">
        <f>AA8*16</f>
        <v>48</v>
      </c>
      <c r="AE8" s="164"/>
      <c r="AF8" s="16">
        <f>Z8</f>
        <v>336000</v>
      </c>
      <c r="AG8" s="17"/>
      <c r="AH8" s="26"/>
      <c r="AI8" s="27"/>
      <c r="AJ8" s="27"/>
      <c r="AK8" s="27"/>
      <c r="AL8" s="28"/>
      <c r="AM8" s="239"/>
      <c r="AN8" s="238"/>
      <c r="AO8" s="29"/>
      <c r="AP8" s="29"/>
    </row>
    <row r="9" spans="1:42" s="12" customFormat="1" ht="110.25" customHeight="1" thickBot="1" x14ac:dyDescent="2.15">
      <c r="B9" s="13"/>
      <c r="C9" s="30">
        <f>C4+(C5*4)+(C6*8)+(C7*12)+(C8*16)</f>
        <v>12</v>
      </c>
      <c r="D9" s="30">
        <f>D4</f>
        <v>25</v>
      </c>
      <c r="E9" s="30">
        <f>E4+(E5*4)+(E6*8)+(E7*12)+(E8*16)</f>
        <v>16</v>
      </c>
      <c r="F9" s="30">
        <f>F4</f>
        <v>34</v>
      </c>
      <c r="G9" s="30">
        <f>G4+(G5*4)+(G6*8)+(G7*12)+(G8*16)</f>
        <v>0</v>
      </c>
      <c r="H9" s="30">
        <f>H4</f>
        <v>52</v>
      </c>
      <c r="I9" s="30">
        <f>I4+(I5*4)+(I6*8)+(I7*12)+(I8*16)</f>
        <v>8</v>
      </c>
      <c r="J9" s="30">
        <f>J4</f>
        <v>22</v>
      </c>
      <c r="K9" s="30">
        <f>K4+(K5*4)+(K6*8)+(K7*12)+(K8*16)</f>
        <v>16</v>
      </c>
      <c r="L9" s="30">
        <f>L4</f>
        <v>25</v>
      </c>
      <c r="M9" s="30">
        <f>M4+(M5*4)+(M6*8)+(M7*12)+(M8*16)</f>
        <v>0</v>
      </c>
      <c r="N9" s="30">
        <f>N4</f>
        <v>25</v>
      </c>
      <c r="O9" s="30">
        <f>O4+(O5*4)+(O6*8)+(O7*12)+(O8*16)</f>
        <v>14</v>
      </c>
      <c r="P9" s="30">
        <f>P4</f>
        <v>32</v>
      </c>
      <c r="Q9" s="30">
        <f>Q4+(Q5*4)+(Q6*8)+(Q7*12)+(Q8*16)</f>
        <v>6</v>
      </c>
      <c r="R9" s="30">
        <f>R4</f>
        <v>33</v>
      </c>
      <c r="S9" s="30">
        <f>S4+(S5*4)+(S6*8)+(S7*12)+(S8*16)</f>
        <v>21</v>
      </c>
      <c r="T9" s="30">
        <f>T4</f>
        <v>15</v>
      </c>
      <c r="U9" s="30">
        <f>U4+(U5*4)+(U6*8)+(U7*12)+(U8*16)</f>
        <v>18</v>
      </c>
      <c r="V9" s="30">
        <f>V4</f>
        <v>17</v>
      </c>
      <c r="W9" s="30">
        <f>W4+(W5*4)+(W6*8)+(W7*12)+(W8*16)</f>
        <v>8</v>
      </c>
      <c r="X9" s="30">
        <f>X4</f>
        <v>24</v>
      </c>
      <c r="Y9" s="30">
        <f>Y4+(Y5*4)+(Y6*8)+(Y7*12)+(Y8*16)</f>
        <v>8</v>
      </c>
      <c r="Z9" s="114"/>
      <c r="AA9" s="14"/>
      <c r="AB9" s="14"/>
      <c r="AC9" s="15"/>
      <c r="AD9" s="31"/>
      <c r="AE9" s="32"/>
      <c r="AF9" s="16">
        <f>Z9</f>
        <v>0</v>
      </c>
      <c r="AG9" s="17"/>
      <c r="AH9" s="34"/>
      <c r="AI9" s="35"/>
      <c r="AJ9" s="35"/>
      <c r="AK9" s="35"/>
      <c r="AL9" s="36"/>
      <c r="AM9" s="239"/>
      <c r="AN9" s="238"/>
      <c r="AO9" s="29"/>
      <c r="AP9" s="29"/>
    </row>
    <row r="10" spans="1:42" s="29" customFormat="1" ht="110.25" customHeight="1" x14ac:dyDescent="2.1">
      <c r="B10" s="37" t="s">
        <v>29</v>
      </c>
      <c r="C10" s="14">
        <v>8</v>
      </c>
      <c r="D10" s="14">
        <v>18</v>
      </c>
      <c r="E10" s="14">
        <v>8</v>
      </c>
      <c r="F10" s="14">
        <v>18</v>
      </c>
      <c r="G10" s="14">
        <v>7</v>
      </c>
      <c r="H10" s="14">
        <v>20</v>
      </c>
      <c r="I10" s="14">
        <v>6</v>
      </c>
      <c r="J10" s="14">
        <v>17</v>
      </c>
      <c r="K10" s="14">
        <v>6</v>
      </c>
      <c r="L10" s="14">
        <v>12</v>
      </c>
      <c r="M10" s="14">
        <v>3</v>
      </c>
      <c r="N10" s="14">
        <v>7</v>
      </c>
      <c r="O10" s="14">
        <v>3</v>
      </c>
      <c r="P10" s="14">
        <v>11</v>
      </c>
      <c r="Q10" s="14">
        <v>7</v>
      </c>
      <c r="R10" s="14">
        <v>13</v>
      </c>
      <c r="S10" s="14">
        <v>8</v>
      </c>
      <c r="T10" s="14">
        <v>13</v>
      </c>
      <c r="U10" s="14">
        <v>6</v>
      </c>
      <c r="V10" s="14">
        <v>22</v>
      </c>
      <c r="W10" s="14">
        <v>10</v>
      </c>
      <c r="X10" s="14">
        <v>17</v>
      </c>
      <c r="Y10" s="14">
        <v>2</v>
      </c>
      <c r="Z10" s="113">
        <v>1819040</v>
      </c>
      <c r="AA10" s="14">
        <f>SUM(C10,E10,G10,I10,K10,M10,O10,Q10,S10,U10,W10,Y10)</f>
        <v>74</v>
      </c>
      <c r="AB10" s="14">
        <f>SUM(D10,F10,H10,J10,L10,N10,P10,R10,T10,V10,X10)</f>
        <v>168</v>
      </c>
      <c r="AC10" s="38" t="s">
        <v>29</v>
      </c>
      <c r="AD10" s="240">
        <f>SUM(AA10:AA13)</f>
        <v>121</v>
      </c>
      <c r="AE10" s="226">
        <f>SUM(AD10,AD15)</f>
        <v>123</v>
      </c>
      <c r="AF10" s="16">
        <f>Z10</f>
        <v>1819040</v>
      </c>
      <c r="AG10" s="17"/>
      <c r="AH10" s="165" t="s">
        <v>30</v>
      </c>
      <c r="AI10" s="166"/>
      <c r="AJ10" s="166"/>
      <c r="AK10" s="166"/>
      <c r="AL10" s="167"/>
      <c r="AM10" s="239"/>
      <c r="AN10" s="238"/>
      <c r="AO10" s="12"/>
      <c r="AP10" s="12"/>
    </row>
    <row r="11" spans="1:42" s="12" customFormat="1" ht="110.25" customHeight="1" x14ac:dyDescent="2.1">
      <c r="A11" s="12">
        <v>0</v>
      </c>
      <c r="B11" s="13" t="s">
        <v>31</v>
      </c>
      <c r="C11" s="14">
        <v>2</v>
      </c>
      <c r="D11" s="14">
        <v>6</v>
      </c>
      <c r="E11" s="14">
        <v>3</v>
      </c>
      <c r="F11" s="14">
        <v>7</v>
      </c>
      <c r="G11" s="14">
        <v>5</v>
      </c>
      <c r="H11" s="14">
        <v>3</v>
      </c>
      <c r="I11" s="14">
        <v>3</v>
      </c>
      <c r="J11" s="14">
        <v>6</v>
      </c>
      <c r="K11" s="14">
        <v>1</v>
      </c>
      <c r="L11" s="14">
        <v>8</v>
      </c>
      <c r="M11" s="14">
        <v>4</v>
      </c>
      <c r="N11" s="14">
        <v>1</v>
      </c>
      <c r="O11" s="14">
        <v>1</v>
      </c>
      <c r="P11" s="14">
        <v>5</v>
      </c>
      <c r="Q11" s="14">
        <v>4</v>
      </c>
      <c r="R11" s="14">
        <v>3</v>
      </c>
      <c r="S11" s="14">
        <v>2</v>
      </c>
      <c r="T11" s="14">
        <v>5</v>
      </c>
      <c r="U11" s="14">
        <v>6</v>
      </c>
      <c r="V11" s="14">
        <v>1</v>
      </c>
      <c r="W11" s="14">
        <v>0</v>
      </c>
      <c r="X11" s="14">
        <v>9</v>
      </c>
      <c r="Y11" s="14">
        <v>1</v>
      </c>
      <c r="Z11" s="113">
        <v>800400</v>
      </c>
      <c r="AA11" s="14">
        <f t="shared" ref="AA11:AA58" si="2">SUM(C11,E11,G11,I11,K11,M11,O11,Q11,S11,U11,W11,Y11)</f>
        <v>32</v>
      </c>
      <c r="AB11" s="14">
        <f t="shared" ref="AB11:AB58" si="3">SUM(D11,F11,H11,J11,L11,N11,P11,R11,T11,V11,X11)</f>
        <v>54</v>
      </c>
      <c r="AC11" s="13" t="s">
        <v>31</v>
      </c>
      <c r="AD11" s="241"/>
      <c r="AE11" s="243"/>
      <c r="AF11" s="16">
        <f t="shared" ref="AF11:AF13" si="4">Z11</f>
        <v>800400</v>
      </c>
      <c r="AG11" s="17"/>
      <c r="AH11" s="168"/>
      <c r="AI11" s="169"/>
      <c r="AJ11" s="169"/>
      <c r="AK11" s="169"/>
      <c r="AL11" s="170"/>
      <c r="AM11" s="239"/>
      <c r="AN11" s="238"/>
    </row>
    <row r="12" spans="1:42" s="12" customFormat="1" ht="108.75" customHeight="1" x14ac:dyDescent="2.1">
      <c r="B12" s="13" t="s">
        <v>32</v>
      </c>
      <c r="C12" s="14">
        <v>1</v>
      </c>
      <c r="D12" s="14">
        <v>1</v>
      </c>
      <c r="E12" s="14">
        <v>3</v>
      </c>
      <c r="F12" s="14">
        <v>0</v>
      </c>
      <c r="G12" s="14">
        <v>2</v>
      </c>
      <c r="H12" s="14">
        <v>0</v>
      </c>
      <c r="I12" s="14">
        <v>0</v>
      </c>
      <c r="J12" s="14">
        <v>2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2</v>
      </c>
      <c r="Q12" s="14">
        <v>2</v>
      </c>
      <c r="R12" s="14">
        <v>0</v>
      </c>
      <c r="S12" s="14">
        <v>0</v>
      </c>
      <c r="T12" s="14">
        <v>2</v>
      </c>
      <c r="U12" s="14">
        <v>0</v>
      </c>
      <c r="V12" s="14">
        <v>5</v>
      </c>
      <c r="W12" s="14">
        <v>0</v>
      </c>
      <c r="X12" s="14">
        <v>0</v>
      </c>
      <c r="Y12" s="14">
        <v>0</v>
      </c>
      <c r="Z12" s="113">
        <v>211500</v>
      </c>
      <c r="AA12" s="14">
        <f t="shared" si="2"/>
        <v>8</v>
      </c>
      <c r="AB12" s="14">
        <f t="shared" si="3"/>
        <v>13</v>
      </c>
      <c r="AC12" s="13" t="s">
        <v>32</v>
      </c>
      <c r="AD12" s="241"/>
      <c r="AE12" s="243"/>
      <c r="AF12" s="16">
        <f t="shared" si="4"/>
        <v>211500</v>
      </c>
      <c r="AG12" s="17"/>
      <c r="AH12" s="168"/>
      <c r="AI12" s="169"/>
      <c r="AJ12" s="169"/>
      <c r="AK12" s="169"/>
      <c r="AL12" s="170"/>
      <c r="AM12" s="239"/>
      <c r="AN12" s="238"/>
    </row>
    <row r="13" spans="1:42" s="12" customFormat="1" ht="110.25" customHeight="1" x14ac:dyDescent="2.1">
      <c r="B13" s="13" t="s">
        <v>33</v>
      </c>
      <c r="C13" s="14">
        <v>0</v>
      </c>
      <c r="D13" s="14">
        <v>2</v>
      </c>
      <c r="E13" s="14">
        <v>2</v>
      </c>
      <c r="F13" s="14">
        <v>1</v>
      </c>
      <c r="G13" s="14">
        <v>0</v>
      </c>
      <c r="H13" s="14">
        <v>2</v>
      </c>
      <c r="I13" s="14">
        <v>0</v>
      </c>
      <c r="J13" s="14">
        <v>2</v>
      </c>
      <c r="K13" s="14">
        <v>1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2</v>
      </c>
      <c r="R13" s="14">
        <v>1</v>
      </c>
      <c r="S13" s="14">
        <v>0</v>
      </c>
      <c r="T13" s="14">
        <v>1</v>
      </c>
      <c r="U13" s="14">
        <v>0</v>
      </c>
      <c r="V13" s="14">
        <v>0</v>
      </c>
      <c r="W13" s="14">
        <v>2</v>
      </c>
      <c r="X13" s="14">
        <v>0</v>
      </c>
      <c r="Y13" s="14">
        <v>0</v>
      </c>
      <c r="Z13" s="113">
        <v>182700</v>
      </c>
      <c r="AA13" s="14">
        <f t="shared" si="2"/>
        <v>7</v>
      </c>
      <c r="AB13" s="14">
        <f t="shared" si="3"/>
        <v>9</v>
      </c>
      <c r="AC13" s="13" t="s">
        <v>33</v>
      </c>
      <c r="AD13" s="242"/>
      <c r="AE13" s="243"/>
      <c r="AF13" s="16">
        <f t="shared" si="4"/>
        <v>182700</v>
      </c>
      <c r="AG13" s="17"/>
      <c r="AH13" s="168"/>
      <c r="AI13" s="169"/>
      <c r="AJ13" s="169"/>
      <c r="AK13" s="169"/>
      <c r="AL13" s="170"/>
      <c r="AM13" s="239"/>
      <c r="AN13" s="238"/>
    </row>
    <row r="14" spans="1:42" s="12" customFormat="1" ht="110.25" customHeight="1" x14ac:dyDescent="2.1">
      <c r="B14" s="13"/>
      <c r="C14" s="40">
        <f>SUM(C10:C13)</f>
        <v>11</v>
      </c>
      <c r="D14" s="30">
        <f t="shared" ref="D14:Y14" si="5">SUM(D10:D13)</f>
        <v>27</v>
      </c>
      <c r="E14" s="30">
        <f t="shared" si="5"/>
        <v>16</v>
      </c>
      <c r="F14" s="30">
        <f>SUM(F10:F13)</f>
        <v>26</v>
      </c>
      <c r="G14" s="30">
        <f t="shared" si="5"/>
        <v>14</v>
      </c>
      <c r="H14" s="30">
        <f t="shared" si="5"/>
        <v>25</v>
      </c>
      <c r="I14" s="30">
        <f t="shared" si="5"/>
        <v>9</v>
      </c>
      <c r="J14" s="30">
        <f t="shared" si="5"/>
        <v>27</v>
      </c>
      <c r="K14" s="30">
        <f t="shared" si="5"/>
        <v>8</v>
      </c>
      <c r="L14" s="30">
        <f t="shared" si="5"/>
        <v>21</v>
      </c>
      <c r="M14" s="30">
        <f t="shared" si="5"/>
        <v>7</v>
      </c>
      <c r="N14" s="30">
        <f t="shared" si="5"/>
        <v>8</v>
      </c>
      <c r="O14" s="30">
        <f t="shared" si="5"/>
        <v>4</v>
      </c>
      <c r="P14" s="30">
        <f t="shared" si="5"/>
        <v>18</v>
      </c>
      <c r="Q14" s="30">
        <f t="shared" si="5"/>
        <v>15</v>
      </c>
      <c r="R14" s="30">
        <f t="shared" si="5"/>
        <v>17</v>
      </c>
      <c r="S14" s="30">
        <f t="shared" si="5"/>
        <v>10</v>
      </c>
      <c r="T14" s="30">
        <f t="shared" si="5"/>
        <v>21</v>
      </c>
      <c r="U14" s="30">
        <f t="shared" si="5"/>
        <v>12</v>
      </c>
      <c r="V14" s="30">
        <f t="shared" si="5"/>
        <v>28</v>
      </c>
      <c r="W14" s="30">
        <f t="shared" si="5"/>
        <v>12</v>
      </c>
      <c r="X14" s="30">
        <f t="shared" si="5"/>
        <v>26</v>
      </c>
      <c r="Y14" s="30">
        <f t="shared" si="5"/>
        <v>3</v>
      </c>
      <c r="Z14" s="114"/>
      <c r="AA14" s="14"/>
      <c r="AB14" s="41"/>
      <c r="AC14" s="42"/>
      <c r="AD14" s="13"/>
      <c r="AE14" s="243"/>
      <c r="AF14" s="33"/>
      <c r="AG14" s="17"/>
      <c r="AH14" s="168"/>
      <c r="AI14" s="169"/>
      <c r="AJ14" s="169"/>
      <c r="AK14" s="169"/>
      <c r="AL14" s="170"/>
      <c r="AM14" s="239"/>
      <c r="AN14" s="238"/>
    </row>
    <row r="15" spans="1:42" s="12" customFormat="1" ht="110.25" customHeight="1" x14ac:dyDescent="2.1">
      <c r="B15" s="13" t="s">
        <v>34</v>
      </c>
      <c r="C15" s="43">
        <v>0</v>
      </c>
      <c r="D15" s="43">
        <v>3</v>
      </c>
      <c r="E15" s="43">
        <v>0</v>
      </c>
      <c r="F15" s="43">
        <v>1</v>
      </c>
      <c r="G15" s="43">
        <v>0</v>
      </c>
      <c r="H15" s="43">
        <v>0</v>
      </c>
      <c r="I15" s="43">
        <v>0</v>
      </c>
      <c r="J15" s="43">
        <v>1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1</v>
      </c>
      <c r="Q15" s="43">
        <v>0</v>
      </c>
      <c r="R15" s="43">
        <v>0</v>
      </c>
      <c r="S15" s="43">
        <v>1</v>
      </c>
      <c r="T15" s="43">
        <v>0</v>
      </c>
      <c r="U15" s="43">
        <v>0</v>
      </c>
      <c r="V15" s="43">
        <v>2</v>
      </c>
      <c r="W15" s="43">
        <v>0</v>
      </c>
      <c r="X15" s="43">
        <v>0</v>
      </c>
      <c r="Y15" s="43">
        <v>1</v>
      </c>
      <c r="Z15" s="115">
        <v>51000</v>
      </c>
      <c r="AA15" s="14">
        <f t="shared" si="2"/>
        <v>2</v>
      </c>
      <c r="AB15" s="14">
        <f t="shared" si="3"/>
        <v>8</v>
      </c>
      <c r="AC15" s="13" t="s">
        <v>34</v>
      </c>
      <c r="AD15" s="240">
        <f>SUM(AA15:AA18)</f>
        <v>2</v>
      </c>
      <c r="AE15" s="243"/>
      <c r="AF15" s="16">
        <f>Z15</f>
        <v>51000</v>
      </c>
      <c r="AG15" s="17"/>
      <c r="AH15" s="171">
        <f>SUM(AF10:AF20)-AF20</f>
        <v>3064640</v>
      </c>
      <c r="AI15" s="169"/>
      <c r="AJ15" s="169"/>
      <c r="AK15" s="169"/>
      <c r="AL15" s="170"/>
      <c r="AM15" s="239"/>
      <c r="AN15" s="238"/>
    </row>
    <row r="16" spans="1:42" s="12" customFormat="1" ht="110.25" customHeight="1" x14ac:dyDescent="2.1">
      <c r="B16" s="13" t="s">
        <v>35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116">
        <v>0</v>
      </c>
      <c r="AA16" s="14">
        <f t="shared" si="2"/>
        <v>0</v>
      </c>
      <c r="AB16" s="14">
        <f t="shared" si="3"/>
        <v>0</v>
      </c>
      <c r="AC16" s="13" t="s">
        <v>35</v>
      </c>
      <c r="AD16" s="241"/>
      <c r="AE16" s="243"/>
      <c r="AF16" s="16">
        <f t="shared" ref="AF16:AF20" si="6">Z16</f>
        <v>0</v>
      </c>
      <c r="AG16" s="17"/>
      <c r="AH16" s="26"/>
      <c r="AI16" s="27"/>
      <c r="AJ16" s="27"/>
      <c r="AK16" s="27"/>
      <c r="AL16" s="28"/>
      <c r="AM16" s="239"/>
      <c r="AN16" s="238"/>
    </row>
    <row r="17" spans="1:40" s="12" customFormat="1" ht="110.25" customHeight="1" x14ac:dyDescent="2.1">
      <c r="B17" s="13" t="s">
        <v>36</v>
      </c>
      <c r="C17" s="43">
        <v>0</v>
      </c>
      <c r="D17" s="43">
        <v>2</v>
      </c>
      <c r="E17" s="43">
        <v>0</v>
      </c>
      <c r="F17" s="43">
        <v>2</v>
      </c>
      <c r="G17" s="43">
        <v>0</v>
      </c>
      <c r="H17" s="43">
        <v>0</v>
      </c>
      <c r="I17" s="43">
        <v>0</v>
      </c>
      <c r="J17" s="43">
        <v>1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116">
        <v>0</v>
      </c>
      <c r="AA17" s="14">
        <f t="shared" si="2"/>
        <v>0</v>
      </c>
      <c r="AB17" s="14">
        <f t="shared" si="3"/>
        <v>5</v>
      </c>
      <c r="AC17" s="13" t="s">
        <v>36</v>
      </c>
      <c r="AD17" s="241"/>
      <c r="AE17" s="243"/>
      <c r="AF17" s="16">
        <f t="shared" si="6"/>
        <v>0</v>
      </c>
      <c r="AG17" s="17"/>
      <c r="AH17" s="26"/>
      <c r="AI17" s="27"/>
      <c r="AJ17" s="27"/>
      <c r="AK17" s="27"/>
      <c r="AL17" s="28"/>
      <c r="AM17" s="239"/>
      <c r="AN17" s="238"/>
    </row>
    <row r="18" spans="1:40" s="12" customFormat="1" ht="110.25" customHeight="1" x14ac:dyDescent="2.1">
      <c r="B18" s="13" t="s">
        <v>37</v>
      </c>
      <c r="C18" s="43">
        <v>0</v>
      </c>
      <c r="D18" s="43">
        <v>1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115">
        <v>0</v>
      </c>
      <c r="AA18" s="14">
        <f t="shared" si="2"/>
        <v>0</v>
      </c>
      <c r="AB18" s="14">
        <f t="shared" si="3"/>
        <v>1</v>
      </c>
      <c r="AC18" s="13" t="s">
        <v>37</v>
      </c>
      <c r="AD18" s="241"/>
      <c r="AE18" s="243"/>
      <c r="AF18" s="16">
        <f t="shared" si="6"/>
        <v>0</v>
      </c>
      <c r="AG18" s="17"/>
      <c r="AH18" s="26"/>
      <c r="AI18" s="27"/>
      <c r="AJ18" s="27"/>
      <c r="AK18" s="27"/>
      <c r="AL18" s="28"/>
      <c r="AM18" s="239"/>
      <c r="AN18" s="238"/>
    </row>
    <row r="19" spans="1:40" s="12" customFormat="1" ht="110.25" customHeight="1" x14ac:dyDescent="2.1">
      <c r="B19" s="13" t="s">
        <v>38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116">
        <v>0</v>
      </c>
      <c r="AA19" s="14">
        <f t="shared" si="2"/>
        <v>0</v>
      </c>
      <c r="AB19" s="14">
        <f t="shared" si="3"/>
        <v>0</v>
      </c>
      <c r="AC19" s="13" t="s">
        <v>38</v>
      </c>
      <c r="AD19" s="241"/>
      <c r="AE19" s="243"/>
      <c r="AF19" s="16">
        <f t="shared" si="6"/>
        <v>0</v>
      </c>
      <c r="AG19" s="17"/>
      <c r="AH19" s="26"/>
      <c r="AI19" s="27"/>
      <c r="AJ19" s="27"/>
      <c r="AK19" s="27"/>
      <c r="AL19" s="28"/>
      <c r="AM19" s="239"/>
      <c r="AN19" s="238"/>
    </row>
    <row r="20" spans="1:40" s="12" customFormat="1" ht="110.25" customHeight="1" thickBot="1" x14ac:dyDescent="2.15">
      <c r="B20" s="13" t="s">
        <v>39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115">
        <v>0</v>
      </c>
      <c r="AA20" s="14">
        <f t="shared" si="2"/>
        <v>0</v>
      </c>
      <c r="AB20" s="14">
        <f t="shared" si="3"/>
        <v>0</v>
      </c>
      <c r="AC20" s="13" t="s">
        <v>39</v>
      </c>
      <c r="AD20" s="242"/>
      <c r="AE20" s="227"/>
      <c r="AF20" s="16">
        <f t="shared" si="6"/>
        <v>0</v>
      </c>
      <c r="AG20" s="17"/>
      <c r="AH20" s="26"/>
      <c r="AI20" s="27"/>
      <c r="AJ20" s="27"/>
      <c r="AK20" s="27"/>
      <c r="AL20" s="28"/>
      <c r="AM20" s="239"/>
      <c r="AN20" s="238"/>
    </row>
    <row r="21" spans="1:40" s="12" customFormat="1" ht="110.25" customHeight="1" x14ac:dyDescent="2.1">
      <c r="B21" s="13"/>
      <c r="C21" s="30">
        <f>SUM(C15:C20)</f>
        <v>0</v>
      </c>
      <c r="D21" s="30">
        <f t="shared" ref="D21:X21" si="7">SUM(D15:D20)</f>
        <v>6</v>
      </c>
      <c r="E21" s="30">
        <f t="shared" si="7"/>
        <v>0</v>
      </c>
      <c r="F21" s="30">
        <f t="shared" si="7"/>
        <v>3</v>
      </c>
      <c r="G21" s="30">
        <f t="shared" si="7"/>
        <v>0</v>
      </c>
      <c r="H21" s="30">
        <f t="shared" si="7"/>
        <v>0</v>
      </c>
      <c r="I21" s="30">
        <f t="shared" si="7"/>
        <v>0</v>
      </c>
      <c r="J21" s="30">
        <f t="shared" si="7"/>
        <v>2</v>
      </c>
      <c r="K21" s="30">
        <f t="shared" si="7"/>
        <v>0</v>
      </c>
      <c r="L21" s="30">
        <f t="shared" si="7"/>
        <v>0</v>
      </c>
      <c r="M21" s="30">
        <f t="shared" si="7"/>
        <v>0</v>
      </c>
      <c r="N21" s="30">
        <f t="shared" si="7"/>
        <v>0</v>
      </c>
      <c r="O21" s="30">
        <f t="shared" si="7"/>
        <v>0</v>
      </c>
      <c r="P21" s="30">
        <f t="shared" si="7"/>
        <v>1</v>
      </c>
      <c r="Q21" s="30">
        <f t="shared" si="7"/>
        <v>0</v>
      </c>
      <c r="R21" s="30">
        <f t="shared" si="7"/>
        <v>0</v>
      </c>
      <c r="S21" s="30">
        <f t="shared" si="7"/>
        <v>1</v>
      </c>
      <c r="T21" s="30">
        <f t="shared" si="7"/>
        <v>0</v>
      </c>
      <c r="U21" s="30">
        <f t="shared" si="7"/>
        <v>0</v>
      </c>
      <c r="V21" s="30">
        <f t="shared" si="7"/>
        <v>2</v>
      </c>
      <c r="W21" s="30">
        <f t="shared" si="7"/>
        <v>0</v>
      </c>
      <c r="X21" s="30">
        <f t="shared" si="7"/>
        <v>0</v>
      </c>
      <c r="Y21" s="30">
        <f>SUM(Y15:Y20)</f>
        <v>1</v>
      </c>
      <c r="Z21" s="114"/>
      <c r="AA21" s="14"/>
      <c r="AB21" s="14"/>
      <c r="AC21" s="42"/>
      <c r="AD21" s="200"/>
      <c r="AE21" s="201"/>
      <c r="AF21" s="33"/>
      <c r="AG21" s="17"/>
      <c r="AH21" s="165" t="s">
        <v>40</v>
      </c>
      <c r="AI21" s="166"/>
      <c r="AJ21" s="166"/>
      <c r="AK21" s="166"/>
      <c r="AL21" s="167"/>
      <c r="AM21" s="239"/>
      <c r="AN21" s="238"/>
    </row>
    <row r="22" spans="1:40" s="12" customFormat="1" ht="110.25" customHeight="1" x14ac:dyDescent="2.1">
      <c r="B22" s="13" t="s">
        <v>41</v>
      </c>
      <c r="C22" s="14">
        <v>1</v>
      </c>
      <c r="D22" s="14">
        <v>4</v>
      </c>
      <c r="E22" s="14">
        <v>1</v>
      </c>
      <c r="F22" s="14">
        <v>2</v>
      </c>
      <c r="G22" s="14">
        <v>2</v>
      </c>
      <c r="H22" s="14">
        <v>5</v>
      </c>
      <c r="I22" s="14">
        <v>1</v>
      </c>
      <c r="J22" s="14">
        <v>0</v>
      </c>
      <c r="K22" s="14">
        <v>3</v>
      </c>
      <c r="L22" s="14">
        <v>3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5</v>
      </c>
      <c r="S22" s="14">
        <v>4</v>
      </c>
      <c r="T22" s="14">
        <v>1</v>
      </c>
      <c r="U22" s="14">
        <v>0</v>
      </c>
      <c r="V22" s="14">
        <v>4</v>
      </c>
      <c r="W22" s="14">
        <v>3</v>
      </c>
      <c r="X22" s="14">
        <v>3</v>
      </c>
      <c r="Y22" s="14">
        <v>1</v>
      </c>
      <c r="Z22" s="117">
        <v>370100</v>
      </c>
      <c r="AA22" s="14">
        <f t="shared" si="2"/>
        <v>16</v>
      </c>
      <c r="AB22" s="14">
        <f t="shared" si="3"/>
        <v>27</v>
      </c>
      <c r="AC22" s="13" t="s">
        <v>41</v>
      </c>
      <c r="AD22" s="224"/>
      <c r="AE22" s="225"/>
      <c r="AF22" s="16">
        <f>Z22</f>
        <v>370100</v>
      </c>
      <c r="AG22" s="17"/>
      <c r="AH22" s="228">
        <f>SUM(AF22:AG22)</f>
        <v>370100</v>
      </c>
      <c r="AI22" s="229"/>
      <c r="AJ22" s="229"/>
      <c r="AK22" s="229"/>
      <c r="AL22" s="230"/>
      <c r="AM22" s="22"/>
      <c r="AN22" s="18"/>
    </row>
    <row r="23" spans="1:40" s="12" customFormat="1" ht="110.25" customHeight="1" thickBot="1" x14ac:dyDescent="2.15">
      <c r="B23" s="13"/>
      <c r="C23" s="30">
        <f>SUM(C22)</f>
        <v>1</v>
      </c>
      <c r="D23" s="30">
        <f t="shared" ref="D23:Y23" si="8">SUM(D22)</f>
        <v>4</v>
      </c>
      <c r="E23" s="30">
        <f t="shared" si="8"/>
        <v>1</v>
      </c>
      <c r="F23" s="30">
        <f t="shared" si="8"/>
        <v>2</v>
      </c>
      <c r="G23" s="30">
        <f t="shared" si="8"/>
        <v>2</v>
      </c>
      <c r="H23" s="30">
        <f t="shared" si="8"/>
        <v>5</v>
      </c>
      <c r="I23" s="30">
        <f t="shared" si="8"/>
        <v>1</v>
      </c>
      <c r="J23" s="30">
        <f t="shared" si="8"/>
        <v>0</v>
      </c>
      <c r="K23" s="30">
        <f t="shared" si="8"/>
        <v>3</v>
      </c>
      <c r="L23" s="30">
        <f t="shared" si="8"/>
        <v>3</v>
      </c>
      <c r="M23" s="30">
        <f t="shared" si="8"/>
        <v>0</v>
      </c>
      <c r="N23" s="30">
        <f t="shared" si="8"/>
        <v>0</v>
      </c>
      <c r="O23" s="30">
        <f t="shared" si="8"/>
        <v>0</v>
      </c>
      <c r="P23" s="30">
        <f t="shared" si="8"/>
        <v>0</v>
      </c>
      <c r="Q23" s="30">
        <f t="shared" si="8"/>
        <v>0</v>
      </c>
      <c r="R23" s="30">
        <f t="shared" si="8"/>
        <v>5</v>
      </c>
      <c r="S23" s="30">
        <f t="shared" si="8"/>
        <v>4</v>
      </c>
      <c r="T23" s="30">
        <f t="shared" si="8"/>
        <v>1</v>
      </c>
      <c r="U23" s="30">
        <f t="shared" si="8"/>
        <v>0</v>
      </c>
      <c r="V23" s="30">
        <f t="shared" si="8"/>
        <v>4</v>
      </c>
      <c r="W23" s="30">
        <f t="shared" si="8"/>
        <v>3</v>
      </c>
      <c r="X23" s="30">
        <f t="shared" si="8"/>
        <v>3</v>
      </c>
      <c r="Y23" s="30">
        <f t="shared" si="8"/>
        <v>1</v>
      </c>
      <c r="Z23" s="114"/>
      <c r="AA23" s="14"/>
      <c r="AB23" s="14"/>
      <c r="AC23" s="42"/>
      <c r="AD23" s="154"/>
      <c r="AE23" s="155"/>
      <c r="AF23" s="16">
        <f t="shared" ref="AF23:AF39" si="9">Z23</f>
        <v>0</v>
      </c>
      <c r="AG23" s="17"/>
      <c r="AH23" s="34"/>
      <c r="AI23" s="35"/>
      <c r="AJ23" s="35"/>
      <c r="AK23" s="35"/>
      <c r="AL23" s="36"/>
      <c r="AM23" s="22"/>
      <c r="AN23" s="18"/>
    </row>
    <row r="24" spans="1:40" s="12" customFormat="1" ht="110.25" customHeight="1" x14ac:dyDescent="2.1">
      <c r="A24" s="12">
        <v>0</v>
      </c>
      <c r="B24" s="13" t="s">
        <v>42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  <c r="H24" s="14">
        <v>7</v>
      </c>
      <c r="I24" s="14">
        <v>10</v>
      </c>
      <c r="J24" s="14">
        <v>6</v>
      </c>
      <c r="K24" s="14">
        <v>0</v>
      </c>
      <c r="L24" s="14">
        <v>0</v>
      </c>
      <c r="M24" s="14">
        <v>1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1</v>
      </c>
      <c r="X24" s="14">
        <v>0</v>
      </c>
      <c r="Y24" s="14">
        <v>0</v>
      </c>
      <c r="Z24" s="113">
        <v>298500</v>
      </c>
      <c r="AA24" s="14">
        <f t="shared" si="2"/>
        <v>15</v>
      </c>
      <c r="AB24" s="14">
        <f t="shared" si="3"/>
        <v>13</v>
      </c>
      <c r="AC24" s="13" t="s">
        <v>42</v>
      </c>
      <c r="AD24" s="176">
        <f>SUM(AA24:AA25)</f>
        <v>33</v>
      </c>
      <c r="AE24" s="177"/>
      <c r="AF24" s="16">
        <f t="shared" si="9"/>
        <v>298500</v>
      </c>
      <c r="AG24" s="17"/>
      <c r="AH24" s="182" t="s">
        <v>43</v>
      </c>
      <c r="AI24" s="183"/>
      <c r="AJ24" s="183"/>
      <c r="AK24" s="183"/>
      <c r="AL24" s="231"/>
      <c r="AM24" s="232" t="s">
        <v>44</v>
      </c>
      <c r="AN24" s="233"/>
    </row>
    <row r="25" spans="1:40" s="12" customFormat="1" ht="110.25" customHeight="1" thickBot="1" x14ac:dyDescent="2.15">
      <c r="A25" s="12">
        <v>0</v>
      </c>
      <c r="B25" s="13" t="s">
        <v>45</v>
      </c>
      <c r="C25" s="14">
        <v>0</v>
      </c>
      <c r="D25" s="14">
        <v>1</v>
      </c>
      <c r="E25" s="14">
        <v>0</v>
      </c>
      <c r="F25" s="14">
        <v>4</v>
      </c>
      <c r="G25" s="14">
        <v>0</v>
      </c>
      <c r="H25" s="14">
        <v>0</v>
      </c>
      <c r="I25" s="14">
        <v>6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1</v>
      </c>
      <c r="P25" s="14">
        <v>0</v>
      </c>
      <c r="Q25" s="14">
        <v>1</v>
      </c>
      <c r="R25" s="14">
        <v>3</v>
      </c>
      <c r="S25" s="14">
        <v>0</v>
      </c>
      <c r="T25" s="14">
        <v>0</v>
      </c>
      <c r="U25" s="14">
        <v>5</v>
      </c>
      <c r="V25" s="14">
        <v>4</v>
      </c>
      <c r="W25" s="14">
        <v>5</v>
      </c>
      <c r="X25" s="14">
        <v>0</v>
      </c>
      <c r="Y25" s="14">
        <v>0</v>
      </c>
      <c r="Z25" s="113">
        <v>358300</v>
      </c>
      <c r="AA25" s="14">
        <f t="shared" si="2"/>
        <v>18</v>
      </c>
      <c r="AB25" s="14">
        <f t="shared" si="3"/>
        <v>12</v>
      </c>
      <c r="AC25" s="13" t="s">
        <v>45</v>
      </c>
      <c r="AD25" s="178"/>
      <c r="AE25" s="179"/>
      <c r="AF25" s="16">
        <f t="shared" si="9"/>
        <v>358300</v>
      </c>
      <c r="AG25" s="17"/>
      <c r="AH25" s="204">
        <f>SUM(AF24:AF25)</f>
        <v>656800</v>
      </c>
      <c r="AI25" s="235"/>
      <c r="AJ25" s="235"/>
      <c r="AK25" s="235"/>
      <c r="AL25" s="236"/>
      <c r="AM25" s="232"/>
      <c r="AN25" s="233"/>
    </row>
    <row r="26" spans="1:40" s="12" customFormat="1" ht="110.25" customHeight="1" thickBot="1" x14ac:dyDescent="2.15">
      <c r="B26" s="13"/>
      <c r="C26" s="30">
        <f t="shared" ref="C26:Y26" si="10">SUM(C24:C25)</f>
        <v>0</v>
      </c>
      <c r="D26" s="30">
        <f t="shared" si="10"/>
        <v>1</v>
      </c>
      <c r="E26" s="30">
        <f t="shared" si="10"/>
        <v>0</v>
      </c>
      <c r="F26" s="30">
        <f>SUM(F24:F25)</f>
        <v>4</v>
      </c>
      <c r="G26" s="30">
        <f t="shared" si="10"/>
        <v>3</v>
      </c>
      <c r="H26" s="30">
        <f t="shared" si="10"/>
        <v>7</v>
      </c>
      <c r="I26" s="30">
        <f t="shared" si="10"/>
        <v>16</v>
      </c>
      <c r="J26" s="30">
        <f t="shared" si="10"/>
        <v>6</v>
      </c>
      <c r="K26" s="30">
        <f t="shared" si="10"/>
        <v>0</v>
      </c>
      <c r="L26" s="30">
        <f t="shared" si="10"/>
        <v>0</v>
      </c>
      <c r="M26" s="30">
        <f t="shared" si="10"/>
        <v>1</v>
      </c>
      <c r="N26" s="30">
        <f t="shared" si="10"/>
        <v>0</v>
      </c>
      <c r="O26" s="30">
        <f t="shared" si="10"/>
        <v>1</v>
      </c>
      <c r="P26" s="30">
        <f t="shared" si="10"/>
        <v>0</v>
      </c>
      <c r="Q26" s="30">
        <f t="shared" si="10"/>
        <v>1</v>
      </c>
      <c r="R26" s="30">
        <f t="shared" si="10"/>
        <v>3</v>
      </c>
      <c r="S26" s="30">
        <f t="shared" si="10"/>
        <v>0</v>
      </c>
      <c r="T26" s="30">
        <f t="shared" si="10"/>
        <v>0</v>
      </c>
      <c r="U26" s="30">
        <f t="shared" si="10"/>
        <v>5</v>
      </c>
      <c r="V26" s="30">
        <f t="shared" si="10"/>
        <v>4</v>
      </c>
      <c r="W26" s="30">
        <f t="shared" si="10"/>
        <v>6</v>
      </c>
      <c r="X26" s="30">
        <f t="shared" si="10"/>
        <v>0</v>
      </c>
      <c r="Y26" s="30">
        <f t="shared" si="10"/>
        <v>0</v>
      </c>
      <c r="Z26" s="114"/>
      <c r="AA26" s="14"/>
      <c r="AB26" s="14"/>
      <c r="AC26" s="13"/>
      <c r="AD26" s="154"/>
      <c r="AE26" s="155"/>
      <c r="AF26" s="16"/>
      <c r="AG26" s="17"/>
      <c r="AH26" s="44"/>
      <c r="AI26" s="45"/>
      <c r="AJ26" s="45"/>
      <c r="AK26" s="45"/>
      <c r="AL26" s="46"/>
      <c r="AM26" s="232"/>
      <c r="AN26" s="233"/>
    </row>
    <row r="27" spans="1:40" s="12" customFormat="1" ht="110.25" customHeight="1" x14ac:dyDescent="2.1">
      <c r="A27" s="12">
        <v>0</v>
      </c>
      <c r="B27" s="13" t="s">
        <v>46</v>
      </c>
      <c r="C27" s="14">
        <v>0</v>
      </c>
      <c r="D27" s="14">
        <v>3</v>
      </c>
      <c r="E27" s="14">
        <v>1</v>
      </c>
      <c r="F27" s="14">
        <v>2</v>
      </c>
      <c r="G27" s="14">
        <v>3</v>
      </c>
      <c r="H27" s="14">
        <v>2</v>
      </c>
      <c r="I27" s="14">
        <v>3</v>
      </c>
      <c r="J27" s="14">
        <v>2</v>
      </c>
      <c r="K27" s="14">
        <v>1</v>
      </c>
      <c r="L27" s="14">
        <v>1</v>
      </c>
      <c r="M27" s="14">
        <v>0</v>
      </c>
      <c r="N27" s="14">
        <v>1</v>
      </c>
      <c r="O27" s="14">
        <v>0</v>
      </c>
      <c r="P27" s="14">
        <v>4</v>
      </c>
      <c r="Q27" s="14">
        <v>1</v>
      </c>
      <c r="R27" s="14">
        <v>3</v>
      </c>
      <c r="S27" s="14">
        <v>0</v>
      </c>
      <c r="T27" s="14">
        <v>3</v>
      </c>
      <c r="U27" s="14">
        <v>2</v>
      </c>
      <c r="V27" s="14">
        <v>0</v>
      </c>
      <c r="W27" s="14">
        <v>1</v>
      </c>
      <c r="X27" s="14">
        <v>1</v>
      </c>
      <c r="Y27" s="14">
        <v>1</v>
      </c>
      <c r="Z27" s="113">
        <v>986700</v>
      </c>
      <c r="AA27" s="14">
        <f t="shared" si="2"/>
        <v>13</v>
      </c>
      <c r="AB27" s="14">
        <f t="shared" si="3"/>
        <v>22</v>
      </c>
      <c r="AC27" s="13" t="s">
        <v>46</v>
      </c>
      <c r="AD27" s="176">
        <f>SUM(AA26:AA28)</f>
        <v>19</v>
      </c>
      <c r="AE27" s="177"/>
      <c r="AF27" s="16">
        <f t="shared" si="9"/>
        <v>986700</v>
      </c>
      <c r="AG27" s="17"/>
      <c r="AH27" s="182" t="s">
        <v>47</v>
      </c>
      <c r="AI27" s="183"/>
      <c r="AJ27" s="183"/>
      <c r="AK27" s="183"/>
      <c r="AL27" s="231"/>
      <c r="AM27" s="232"/>
      <c r="AN27" s="233"/>
    </row>
    <row r="28" spans="1:40" s="12" customFormat="1" ht="110.25" customHeight="1" thickBot="1" x14ac:dyDescent="2.15">
      <c r="A28" s="12">
        <v>0</v>
      </c>
      <c r="B28" s="13" t="s">
        <v>48</v>
      </c>
      <c r="C28" s="14">
        <v>2</v>
      </c>
      <c r="D28" s="14">
        <v>2</v>
      </c>
      <c r="E28" s="14">
        <v>1</v>
      </c>
      <c r="F28" s="14">
        <v>2</v>
      </c>
      <c r="G28" s="14">
        <v>0</v>
      </c>
      <c r="H28" s="14">
        <v>4</v>
      </c>
      <c r="I28" s="14">
        <v>0</v>
      </c>
      <c r="J28" s="14">
        <v>5</v>
      </c>
      <c r="K28" s="14">
        <v>1</v>
      </c>
      <c r="L28" s="14">
        <v>0</v>
      </c>
      <c r="M28" s="14">
        <v>1</v>
      </c>
      <c r="N28" s="14">
        <v>1</v>
      </c>
      <c r="O28" s="14">
        <v>0</v>
      </c>
      <c r="P28" s="14">
        <v>2</v>
      </c>
      <c r="Q28" s="14">
        <v>0</v>
      </c>
      <c r="R28" s="14">
        <v>5</v>
      </c>
      <c r="S28" s="14">
        <v>0</v>
      </c>
      <c r="T28" s="14">
        <v>2</v>
      </c>
      <c r="U28" s="14">
        <v>0</v>
      </c>
      <c r="V28" s="14">
        <v>2</v>
      </c>
      <c r="W28" s="14">
        <v>1</v>
      </c>
      <c r="X28" s="14">
        <v>1</v>
      </c>
      <c r="Y28" s="14">
        <v>0</v>
      </c>
      <c r="Z28" s="113">
        <v>489000</v>
      </c>
      <c r="AA28" s="14">
        <f t="shared" si="2"/>
        <v>6</v>
      </c>
      <c r="AB28" s="14">
        <f t="shared" si="3"/>
        <v>26</v>
      </c>
      <c r="AC28" s="13" t="s">
        <v>48</v>
      </c>
      <c r="AD28" s="178"/>
      <c r="AE28" s="179"/>
      <c r="AF28" s="16">
        <f t="shared" si="9"/>
        <v>489000</v>
      </c>
      <c r="AG28" s="17"/>
      <c r="AH28" s="204">
        <f>+AF27+AF31</f>
        <v>2028700</v>
      </c>
      <c r="AI28" s="235"/>
      <c r="AJ28" s="235"/>
      <c r="AK28" s="235"/>
      <c r="AL28" s="236"/>
      <c r="AM28" s="232"/>
      <c r="AN28" s="233"/>
    </row>
    <row r="29" spans="1:40" s="12" customFormat="1" ht="110.25" customHeight="1" thickBot="1" x14ac:dyDescent="2.15">
      <c r="B29" s="13"/>
      <c r="C29" s="30">
        <f t="shared" ref="C29:Y29" si="11">SUM(C27:C28)</f>
        <v>2</v>
      </c>
      <c r="D29" s="30">
        <f t="shared" si="11"/>
        <v>5</v>
      </c>
      <c r="E29" s="30">
        <f t="shared" si="11"/>
        <v>2</v>
      </c>
      <c r="F29" s="30">
        <f t="shared" si="11"/>
        <v>4</v>
      </c>
      <c r="G29" s="30">
        <f t="shared" si="11"/>
        <v>3</v>
      </c>
      <c r="H29" s="30">
        <f t="shared" si="11"/>
        <v>6</v>
      </c>
      <c r="I29" s="30">
        <f t="shared" si="11"/>
        <v>3</v>
      </c>
      <c r="J29" s="30">
        <f t="shared" si="11"/>
        <v>7</v>
      </c>
      <c r="K29" s="30">
        <f t="shared" si="11"/>
        <v>2</v>
      </c>
      <c r="L29" s="30">
        <f t="shared" si="11"/>
        <v>1</v>
      </c>
      <c r="M29" s="30">
        <f t="shared" si="11"/>
        <v>1</v>
      </c>
      <c r="N29" s="30">
        <f t="shared" si="11"/>
        <v>2</v>
      </c>
      <c r="O29" s="30">
        <f t="shared" si="11"/>
        <v>0</v>
      </c>
      <c r="P29" s="30">
        <f t="shared" si="11"/>
        <v>6</v>
      </c>
      <c r="Q29" s="30">
        <f t="shared" si="11"/>
        <v>1</v>
      </c>
      <c r="R29" s="30">
        <f t="shared" si="11"/>
        <v>8</v>
      </c>
      <c r="S29" s="30">
        <f t="shared" si="11"/>
        <v>0</v>
      </c>
      <c r="T29" s="30">
        <f t="shared" si="11"/>
        <v>5</v>
      </c>
      <c r="U29" s="30">
        <f t="shared" si="11"/>
        <v>2</v>
      </c>
      <c r="V29" s="30">
        <f t="shared" si="11"/>
        <v>2</v>
      </c>
      <c r="W29" s="30">
        <f t="shared" si="11"/>
        <v>2</v>
      </c>
      <c r="X29" s="30">
        <f t="shared" si="11"/>
        <v>2</v>
      </c>
      <c r="Y29" s="30">
        <f t="shared" si="11"/>
        <v>1</v>
      </c>
      <c r="Z29" s="114"/>
      <c r="AA29" s="14"/>
      <c r="AB29" s="14"/>
      <c r="AC29" s="13"/>
      <c r="AD29" s="154"/>
      <c r="AE29" s="155"/>
      <c r="AF29" s="16"/>
      <c r="AG29" s="17"/>
      <c r="AH29" s="44"/>
      <c r="AI29" s="45"/>
      <c r="AJ29" s="45"/>
      <c r="AK29" s="45"/>
      <c r="AL29" s="45"/>
      <c r="AM29" s="232"/>
      <c r="AN29" s="233"/>
    </row>
    <row r="30" spans="1:40" s="12" customFormat="1" ht="110.25" customHeight="1" x14ac:dyDescent="2.1">
      <c r="A30" s="12">
        <v>0</v>
      </c>
      <c r="B30" s="13" t="s">
        <v>49</v>
      </c>
      <c r="C30" s="14">
        <v>0</v>
      </c>
      <c r="D30" s="14">
        <v>10</v>
      </c>
      <c r="E30" s="14">
        <v>0</v>
      </c>
      <c r="F30" s="14">
        <v>8</v>
      </c>
      <c r="G30" s="14">
        <v>0</v>
      </c>
      <c r="H30" s="14">
        <v>6</v>
      </c>
      <c r="I30" s="14">
        <v>1</v>
      </c>
      <c r="J30" s="14">
        <v>2</v>
      </c>
      <c r="K30" s="14">
        <v>0</v>
      </c>
      <c r="L30" s="14">
        <v>2</v>
      </c>
      <c r="M30" s="14">
        <v>0</v>
      </c>
      <c r="N30" s="14">
        <v>4</v>
      </c>
      <c r="O30" s="14">
        <v>0</v>
      </c>
      <c r="P30" s="14">
        <v>6</v>
      </c>
      <c r="Q30" s="14">
        <v>0</v>
      </c>
      <c r="R30" s="14">
        <v>6</v>
      </c>
      <c r="S30" s="14">
        <v>1</v>
      </c>
      <c r="T30" s="14">
        <v>6</v>
      </c>
      <c r="U30" s="14">
        <v>1</v>
      </c>
      <c r="V30" s="14">
        <v>6</v>
      </c>
      <c r="W30" s="14">
        <v>1</v>
      </c>
      <c r="X30" s="14">
        <v>8</v>
      </c>
      <c r="Y30" s="14">
        <v>0</v>
      </c>
      <c r="Z30" s="113">
        <v>459200</v>
      </c>
      <c r="AA30" s="14">
        <f t="shared" si="2"/>
        <v>4</v>
      </c>
      <c r="AB30" s="14">
        <f t="shared" si="3"/>
        <v>64</v>
      </c>
      <c r="AC30" s="13" t="s">
        <v>49</v>
      </c>
      <c r="AD30" s="176">
        <f>SUM(AA29:AA31)</f>
        <v>13</v>
      </c>
      <c r="AE30" s="177"/>
      <c r="AF30" s="16">
        <f t="shared" si="9"/>
        <v>459200</v>
      </c>
      <c r="AG30" s="17"/>
      <c r="AH30" s="182" t="s">
        <v>50</v>
      </c>
      <c r="AI30" s="183"/>
      <c r="AJ30" s="183"/>
      <c r="AK30" s="183"/>
      <c r="AL30" s="183"/>
      <c r="AM30" s="232"/>
      <c r="AN30" s="233"/>
    </row>
    <row r="31" spans="1:40" s="12" customFormat="1" ht="110.25" customHeight="1" thickBot="1" x14ac:dyDescent="2.15">
      <c r="A31" s="12">
        <v>0</v>
      </c>
      <c r="B31" s="13" t="s">
        <v>51</v>
      </c>
      <c r="C31" s="14">
        <v>0</v>
      </c>
      <c r="D31" s="14">
        <v>6</v>
      </c>
      <c r="E31" s="14">
        <v>0</v>
      </c>
      <c r="F31" s="14">
        <v>8</v>
      </c>
      <c r="G31" s="14">
        <v>1</v>
      </c>
      <c r="H31" s="14">
        <v>4</v>
      </c>
      <c r="I31" s="14">
        <v>0</v>
      </c>
      <c r="J31" s="14">
        <v>6</v>
      </c>
      <c r="K31" s="14">
        <v>1</v>
      </c>
      <c r="L31" s="14">
        <v>0</v>
      </c>
      <c r="M31" s="14">
        <v>1</v>
      </c>
      <c r="N31" s="14">
        <v>2</v>
      </c>
      <c r="O31" s="14">
        <v>0</v>
      </c>
      <c r="P31" s="14">
        <v>4</v>
      </c>
      <c r="Q31" s="14">
        <v>2</v>
      </c>
      <c r="R31" s="14">
        <v>6</v>
      </c>
      <c r="S31" s="14">
        <v>2</v>
      </c>
      <c r="T31" s="14">
        <v>3</v>
      </c>
      <c r="U31" s="14">
        <v>1</v>
      </c>
      <c r="V31" s="14">
        <v>5</v>
      </c>
      <c r="W31" s="14">
        <v>0</v>
      </c>
      <c r="X31" s="14">
        <v>7</v>
      </c>
      <c r="Y31" s="14">
        <v>1</v>
      </c>
      <c r="Z31" s="113">
        <v>1042000</v>
      </c>
      <c r="AA31" s="14">
        <f t="shared" si="2"/>
        <v>9</v>
      </c>
      <c r="AB31" s="14">
        <f t="shared" si="3"/>
        <v>51</v>
      </c>
      <c r="AC31" s="13" t="s">
        <v>51</v>
      </c>
      <c r="AD31" s="178"/>
      <c r="AE31" s="179"/>
      <c r="AF31" s="16">
        <f t="shared" si="9"/>
        <v>1042000</v>
      </c>
      <c r="AG31" s="17"/>
      <c r="AH31" s="204">
        <f>+AF30+AF31</f>
        <v>1501200</v>
      </c>
      <c r="AI31" s="235"/>
      <c r="AJ31" s="235"/>
      <c r="AK31" s="235"/>
      <c r="AL31" s="236"/>
      <c r="AM31" s="232"/>
      <c r="AN31" s="233"/>
    </row>
    <row r="32" spans="1:40" s="12" customFormat="1" ht="110.25" customHeight="1" thickBot="1" x14ac:dyDescent="2.15">
      <c r="B32" s="13"/>
      <c r="C32" s="30">
        <f t="shared" ref="C32:Y32" si="12">SUM(C30:C31)</f>
        <v>0</v>
      </c>
      <c r="D32" s="30">
        <f t="shared" si="12"/>
        <v>16</v>
      </c>
      <c r="E32" s="30">
        <f t="shared" si="12"/>
        <v>0</v>
      </c>
      <c r="F32" s="30">
        <f t="shared" si="12"/>
        <v>16</v>
      </c>
      <c r="G32" s="30">
        <f t="shared" si="12"/>
        <v>1</v>
      </c>
      <c r="H32" s="30">
        <f t="shared" si="12"/>
        <v>10</v>
      </c>
      <c r="I32" s="30">
        <f t="shared" si="12"/>
        <v>1</v>
      </c>
      <c r="J32" s="30">
        <f t="shared" si="12"/>
        <v>8</v>
      </c>
      <c r="K32" s="30">
        <f t="shared" si="12"/>
        <v>1</v>
      </c>
      <c r="L32" s="30">
        <f t="shared" si="12"/>
        <v>2</v>
      </c>
      <c r="M32" s="30">
        <f t="shared" si="12"/>
        <v>1</v>
      </c>
      <c r="N32" s="30">
        <f t="shared" si="12"/>
        <v>6</v>
      </c>
      <c r="O32" s="30">
        <f t="shared" si="12"/>
        <v>0</v>
      </c>
      <c r="P32" s="30">
        <f t="shared" si="12"/>
        <v>10</v>
      </c>
      <c r="Q32" s="30">
        <f t="shared" si="12"/>
        <v>2</v>
      </c>
      <c r="R32" s="30">
        <f t="shared" si="12"/>
        <v>12</v>
      </c>
      <c r="S32" s="30">
        <f t="shared" si="12"/>
        <v>3</v>
      </c>
      <c r="T32" s="30">
        <f t="shared" si="12"/>
        <v>9</v>
      </c>
      <c r="U32" s="30">
        <f t="shared" si="12"/>
        <v>2</v>
      </c>
      <c r="V32" s="30">
        <f t="shared" si="12"/>
        <v>11</v>
      </c>
      <c r="W32" s="30">
        <f t="shared" si="12"/>
        <v>1</v>
      </c>
      <c r="X32" s="30">
        <f t="shared" si="12"/>
        <v>15</v>
      </c>
      <c r="Y32" s="30">
        <f t="shared" si="12"/>
        <v>1</v>
      </c>
      <c r="Z32" s="114"/>
      <c r="AA32" s="14"/>
      <c r="AB32" s="14"/>
      <c r="AC32" s="13"/>
      <c r="AD32" s="154"/>
      <c r="AE32" s="155"/>
      <c r="AF32" s="16">
        <f t="shared" si="9"/>
        <v>0</v>
      </c>
      <c r="AG32" s="17"/>
      <c r="AH32" s="44"/>
      <c r="AI32" s="45"/>
      <c r="AJ32" s="45"/>
      <c r="AK32" s="45"/>
      <c r="AL32" s="45"/>
      <c r="AM32" s="232"/>
      <c r="AN32" s="233"/>
    </row>
    <row r="33" spans="1:42" s="12" customFormat="1" ht="110.25" customHeight="1" x14ac:dyDescent="2.1">
      <c r="A33" s="12">
        <v>0</v>
      </c>
      <c r="B33" s="13" t="s">
        <v>52</v>
      </c>
      <c r="C33" s="14">
        <v>0</v>
      </c>
      <c r="D33" s="14">
        <v>1</v>
      </c>
      <c r="E33" s="14">
        <v>0</v>
      </c>
      <c r="F33" s="14">
        <v>2</v>
      </c>
      <c r="G33" s="14">
        <v>0</v>
      </c>
      <c r="H33" s="14">
        <v>1</v>
      </c>
      <c r="I33" s="14">
        <v>0</v>
      </c>
      <c r="J33" s="14">
        <v>1</v>
      </c>
      <c r="K33" s="14">
        <v>0</v>
      </c>
      <c r="L33" s="14">
        <v>2</v>
      </c>
      <c r="M33" s="14">
        <v>0</v>
      </c>
      <c r="N33" s="14">
        <v>0</v>
      </c>
      <c r="O33" s="14">
        <v>0</v>
      </c>
      <c r="P33" s="14">
        <v>1</v>
      </c>
      <c r="Q33" s="14">
        <v>1</v>
      </c>
      <c r="R33" s="14">
        <v>0</v>
      </c>
      <c r="S33" s="14">
        <v>0</v>
      </c>
      <c r="T33" s="14">
        <v>1</v>
      </c>
      <c r="U33" s="14">
        <v>0</v>
      </c>
      <c r="V33" s="14">
        <v>3</v>
      </c>
      <c r="W33" s="14">
        <v>0</v>
      </c>
      <c r="X33" s="14">
        <v>1</v>
      </c>
      <c r="Y33" s="14">
        <v>0</v>
      </c>
      <c r="Z33" s="113">
        <v>162000</v>
      </c>
      <c r="AA33" s="14">
        <f t="shared" si="2"/>
        <v>1</v>
      </c>
      <c r="AB33" s="14">
        <f t="shared" si="3"/>
        <v>13</v>
      </c>
      <c r="AC33" s="13" t="s">
        <v>52</v>
      </c>
      <c r="AD33" s="176">
        <f>SUM(AA32:AA34)</f>
        <v>2</v>
      </c>
      <c r="AE33" s="177"/>
      <c r="AF33" s="16">
        <f t="shared" si="9"/>
        <v>162000</v>
      </c>
      <c r="AG33" s="17"/>
      <c r="AH33" s="182" t="s">
        <v>53</v>
      </c>
      <c r="AI33" s="183"/>
      <c r="AJ33" s="183"/>
      <c r="AK33" s="183"/>
      <c r="AL33" s="183"/>
      <c r="AM33" s="232"/>
      <c r="AN33" s="233"/>
    </row>
    <row r="34" spans="1:42" s="12" customFormat="1" ht="110.25" customHeight="1" thickBot="1" x14ac:dyDescent="2.15">
      <c r="A34" s="12">
        <v>0</v>
      </c>
      <c r="B34" s="13" t="s">
        <v>54</v>
      </c>
      <c r="C34" s="14">
        <v>0</v>
      </c>
      <c r="D34" s="14">
        <v>1</v>
      </c>
      <c r="E34" s="14">
        <v>1</v>
      </c>
      <c r="F34" s="14">
        <v>1</v>
      </c>
      <c r="G34" s="14">
        <v>0</v>
      </c>
      <c r="H34" s="14">
        <v>1</v>
      </c>
      <c r="I34" s="14">
        <v>0</v>
      </c>
      <c r="J34" s="14">
        <v>2</v>
      </c>
      <c r="K34" s="14">
        <v>0</v>
      </c>
      <c r="L34" s="14">
        <v>0</v>
      </c>
      <c r="M34" s="14">
        <v>0</v>
      </c>
      <c r="N34" s="14">
        <v>1</v>
      </c>
      <c r="O34" s="14">
        <v>0</v>
      </c>
      <c r="P34" s="14">
        <v>0</v>
      </c>
      <c r="Q34" s="14">
        <v>0</v>
      </c>
      <c r="R34" s="14">
        <v>1</v>
      </c>
      <c r="S34" s="14">
        <v>0</v>
      </c>
      <c r="T34" s="14">
        <v>2</v>
      </c>
      <c r="U34" s="14">
        <v>0</v>
      </c>
      <c r="V34" s="14">
        <v>1</v>
      </c>
      <c r="W34" s="14">
        <v>0</v>
      </c>
      <c r="X34" s="14">
        <v>1</v>
      </c>
      <c r="Y34" s="14">
        <v>0</v>
      </c>
      <c r="Z34" s="113">
        <v>163800</v>
      </c>
      <c r="AA34" s="14">
        <f t="shared" si="2"/>
        <v>1</v>
      </c>
      <c r="AB34" s="14">
        <f t="shared" si="3"/>
        <v>11</v>
      </c>
      <c r="AC34" s="13" t="s">
        <v>54</v>
      </c>
      <c r="AD34" s="178"/>
      <c r="AE34" s="179"/>
      <c r="AF34" s="16">
        <f t="shared" si="9"/>
        <v>163800</v>
      </c>
      <c r="AG34" s="17"/>
      <c r="AH34" s="204">
        <f>+AF33+AF34</f>
        <v>325800</v>
      </c>
      <c r="AI34" s="235"/>
      <c r="AJ34" s="235"/>
      <c r="AK34" s="235"/>
      <c r="AL34" s="236"/>
      <c r="AM34" s="232"/>
      <c r="AN34" s="233"/>
    </row>
    <row r="35" spans="1:42" s="12" customFormat="1" ht="110.25" customHeight="1" thickBot="1" x14ac:dyDescent="2.15">
      <c r="B35" s="13"/>
      <c r="C35" s="30">
        <f t="shared" ref="C35:Y35" si="13">SUM(C33:C34)</f>
        <v>0</v>
      </c>
      <c r="D35" s="30">
        <f t="shared" si="13"/>
        <v>2</v>
      </c>
      <c r="E35" s="30">
        <f t="shared" si="13"/>
        <v>1</v>
      </c>
      <c r="F35" s="30">
        <f t="shared" si="13"/>
        <v>3</v>
      </c>
      <c r="G35" s="30">
        <f t="shared" si="13"/>
        <v>0</v>
      </c>
      <c r="H35" s="30">
        <f t="shared" si="13"/>
        <v>2</v>
      </c>
      <c r="I35" s="30">
        <f t="shared" si="13"/>
        <v>0</v>
      </c>
      <c r="J35" s="30">
        <f t="shared" si="13"/>
        <v>3</v>
      </c>
      <c r="K35" s="30">
        <f t="shared" si="13"/>
        <v>0</v>
      </c>
      <c r="L35" s="30">
        <f t="shared" si="13"/>
        <v>2</v>
      </c>
      <c r="M35" s="30">
        <f t="shared" si="13"/>
        <v>0</v>
      </c>
      <c r="N35" s="30">
        <f t="shared" si="13"/>
        <v>1</v>
      </c>
      <c r="O35" s="30">
        <f t="shared" si="13"/>
        <v>0</v>
      </c>
      <c r="P35" s="30">
        <f t="shared" si="13"/>
        <v>1</v>
      </c>
      <c r="Q35" s="30">
        <f t="shared" si="13"/>
        <v>1</v>
      </c>
      <c r="R35" s="30">
        <f t="shared" si="13"/>
        <v>1</v>
      </c>
      <c r="S35" s="30">
        <f t="shared" si="13"/>
        <v>0</v>
      </c>
      <c r="T35" s="30">
        <f t="shared" si="13"/>
        <v>3</v>
      </c>
      <c r="U35" s="30">
        <f t="shared" si="13"/>
        <v>0</v>
      </c>
      <c r="V35" s="30">
        <f t="shared" si="13"/>
        <v>4</v>
      </c>
      <c r="W35" s="30">
        <f t="shared" si="13"/>
        <v>0</v>
      </c>
      <c r="X35" s="30">
        <f t="shared" si="13"/>
        <v>2</v>
      </c>
      <c r="Y35" s="30">
        <f t="shared" si="13"/>
        <v>0</v>
      </c>
      <c r="Z35" s="114"/>
      <c r="AA35" s="14"/>
      <c r="AB35" s="14"/>
      <c r="AC35" s="13"/>
      <c r="AD35" s="154"/>
      <c r="AE35" s="155"/>
      <c r="AF35" s="16">
        <f t="shared" si="9"/>
        <v>0</v>
      </c>
      <c r="AG35" s="17"/>
      <c r="AH35" s="44"/>
      <c r="AI35" s="45"/>
      <c r="AJ35" s="45"/>
      <c r="AK35" s="45"/>
      <c r="AL35" s="45"/>
      <c r="AM35" s="232"/>
      <c r="AN35" s="233"/>
    </row>
    <row r="36" spans="1:42" s="12" customFormat="1" ht="110.25" customHeight="1" x14ac:dyDescent="2.1">
      <c r="B36" s="13" t="s">
        <v>55</v>
      </c>
      <c r="C36" s="14">
        <v>0</v>
      </c>
      <c r="D36" s="14">
        <v>1</v>
      </c>
      <c r="E36" s="14">
        <v>0</v>
      </c>
      <c r="F36" s="14">
        <v>0</v>
      </c>
      <c r="G36" s="14">
        <v>0</v>
      </c>
      <c r="H36" s="14">
        <v>0</v>
      </c>
      <c r="I36" s="14">
        <v>1</v>
      </c>
      <c r="J36" s="14">
        <v>0</v>
      </c>
      <c r="K36" s="14">
        <v>1</v>
      </c>
      <c r="L36" s="14">
        <v>0</v>
      </c>
      <c r="M36" s="14">
        <v>0</v>
      </c>
      <c r="N36" s="14">
        <v>0</v>
      </c>
      <c r="O36" s="14">
        <v>0</v>
      </c>
      <c r="P36" s="14">
        <v>1</v>
      </c>
      <c r="Q36" s="14">
        <v>0</v>
      </c>
      <c r="R36" s="14">
        <v>1</v>
      </c>
      <c r="S36" s="14">
        <v>0</v>
      </c>
      <c r="T36" s="14">
        <v>1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13">
        <v>396000</v>
      </c>
      <c r="AA36" s="14">
        <f t="shared" si="2"/>
        <v>2</v>
      </c>
      <c r="AB36" s="14">
        <f t="shared" si="3"/>
        <v>4</v>
      </c>
      <c r="AC36" s="13" t="s">
        <v>55</v>
      </c>
      <c r="AD36" s="176">
        <f>SUM(AA35:AA37)</f>
        <v>4</v>
      </c>
      <c r="AE36" s="177"/>
      <c r="AF36" s="16">
        <f t="shared" si="9"/>
        <v>396000</v>
      </c>
      <c r="AG36" s="17"/>
      <c r="AH36" s="182" t="s">
        <v>56</v>
      </c>
      <c r="AI36" s="183"/>
      <c r="AJ36" s="183"/>
      <c r="AK36" s="183"/>
      <c r="AL36" s="183"/>
      <c r="AM36" s="232"/>
      <c r="AN36" s="233"/>
    </row>
    <row r="37" spans="1:42" s="12" customFormat="1" ht="110.25" customHeight="1" thickBot="1" x14ac:dyDescent="2.15">
      <c r="B37" s="13" t="s">
        <v>57</v>
      </c>
      <c r="C37" s="14">
        <v>0</v>
      </c>
      <c r="D37" s="14">
        <v>1</v>
      </c>
      <c r="E37" s="14">
        <v>0</v>
      </c>
      <c r="F37" s="14">
        <v>1</v>
      </c>
      <c r="G37" s="14">
        <v>0</v>
      </c>
      <c r="H37" s="14">
        <v>2</v>
      </c>
      <c r="I37" s="14">
        <v>0</v>
      </c>
      <c r="J37" s="14">
        <v>1</v>
      </c>
      <c r="K37" s="14">
        <v>0</v>
      </c>
      <c r="L37" s="14">
        <v>0</v>
      </c>
      <c r="M37" s="14">
        <v>0</v>
      </c>
      <c r="N37" s="14">
        <v>0</v>
      </c>
      <c r="O37" s="14">
        <v>1</v>
      </c>
      <c r="P37" s="14">
        <v>0</v>
      </c>
      <c r="Q37" s="14">
        <v>0</v>
      </c>
      <c r="R37" s="14">
        <v>1</v>
      </c>
      <c r="S37" s="14">
        <v>1</v>
      </c>
      <c r="T37" s="14">
        <v>0</v>
      </c>
      <c r="U37" s="14">
        <v>0</v>
      </c>
      <c r="V37" s="14">
        <v>1</v>
      </c>
      <c r="W37" s="14">
        <v>0</v>
      </c>
      <c r="X37" s="14">
        <v>1</v>
      </c>
      <c r="Y37" s="14">
        <v>0</v>
      </c>
      <c r="Z37" s="117">
        <v>417900</v>
      </c>
      <c r="AA37" s="14">
        <f t="shared" si="2"/>
        <v>2</v>
      </c>
      <c r="AB37" s="14">
        <f t="shared" si="3"/>
        <v>8</v>
      </c>
      <c r="AC37" s="13" t="s">
        <v>57</v>
      </c>
      <c r="AD37" s="178"/>
      <c r="AE37" s="179"/>
      <c r="AF37" s="16">
        <f t="shared" si="9"/>
        <v>417900</v>
      </c>
      <c r="AG37" s="17"/>
      <c r="AH37" s="204">
        <f>+AF36+AF37</f>
        <v>813900</v>
      </c>
      <c r="AI37" s="235"/>
      <c r="AJ37" s="235"/>
      <c r="AK37" s="235"/>
      <c r="AL37" s="236"/>
      <c r="AM37" s="232"/>
      <c r="AN37" s="233"/>
      <c r="AO37" s="47"/>
      <c r="AP37" s="47"/>
    </row>
    <row r="38" spans="1:42" s="12" customFormat="1" ht="146.25" x14ac:dyDescent="2.1">
      <c r="B38" s="13"/>
      <c r="C38" s="30">
        <f t="shared" ref="C38:Y38" si="14">SUM(C36:C37)</f>
        <v>0</v>
      </c>
      <c r="D38" s="30">
        <f t="shared" si="14"/>
        <v>2</v>
      </c>
      <c r="E38" s="30">
        <f t="shared" si="14"/>
        <v>0</v>
      </c>
      <c r="F38" s="30">
        <f t="shared" si="14"/>
        <v>1</v>
      </c>
      <c r="G38" s="30">
        <f t="shared" si="14"/>
        <v>0</v>
      </c>
      <c r="H38" s="30">
        <f t="shared" si="14"/>
        <v>2</v>
      </c>
      <c r="I38" s="30">
        <f t="shared" si="14"/>
        <v>1</v>
      </c>
      <c r="J38" s="30">
        <f t="shared" si="14"/>
        <v>1</v>
      </c>
      <c r="K38" s="30">
        <f t="shared" si="14"/>
        <v>1</v>
      </c>
      <c r="L38" s="30">
        <f t="shared" si="14"/>
        <v>0</v>
      </c>
      <c r="M38" s="30">
        <f t="shared" si="14"/>
        <v>0</v>
      </c>
      <c r="N38" s="30">
        <f t="shared" si="14"/>
        <v>0</v>
      </c>
      <c r="O38" s="30">
        <f t="shared" si="14"/>
        <v>1</v>
      </c>
      <c r="P38" s="30">
        <f t="shared" si="14"/>
        <v>1</v>
      </c>
      <c r="Q38" s="30">
        <f t="shared" si="14"/>
        <v>0</v>
      </c>
      <c r="R38" s="30">
        <f t="shared" si="14"/>
        <v>2</v>
      </c>
      <c r="S38" s="30">
        <f t="shared" si="14"/>
        <v>1</v>
      </c>
      <c r="T38" s="30">
        <f t="shared" si="14"/>
        <v>1</v>
      </c>
      <c r="U38" s="30">
        <f t="shared" si="14"/>
        <v>0</v>
      </c>
      <c r="V38" s="30">
        <f t="shared" si="14"/>
        <v>1</v>
      </c>
      <c r="W38" s="30">
        <f t="shared" si="14"/>
        <v>0</v>
      </c>
      <c r="X38" s="30">
        <f t="shared" si="14"/>
        <v>1</v>
      </c>
      <c r="Y38" s="30">
        <f t="shared" si="14"/>
        <v>0</v>
      </c>
      <c r="Z38" s="114"/>
      <c r="AA38" s="14"/>
      <c r="AB38" s="14"/>
      <c r="AC38" s="13"/>
      <c r="AD38" s="154"/>
      <c r="AE38" s="155"/>
      <c r="AF38" s="16">
        <f t="shared" si="9"/>
        <v>0</v>
      </c>
      <c r="AG38" s="17"/>
      <c r="AH38" s="45"/>
      <c r="AI38" s="45"/>
      <c r="AJ38" s="45"/>
      <c r="AK38" s="45"/>
      <c r="AL38" s="45"/>
      <c r="AM38" s="232"/>
      <c r="AN38" s="233"/>
      <c r="AO38" s="47"/>
      <c r="AP38" s="47"/>
    </row>
    <row r="39" spans="1:42" s="12" customFormat="1" ht="146.25" x14ac:dyDescent="2.1">
      <c r="B39" s="13" t="s">
        <v>58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4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17">
        <v>0</v>
      </c>
      <c r="AA39" s="14">
        <f t="shared" si="2"/>
        <v>0</v>
      </c>
      <c r="AB39" s="14">
        <f t="shared" si="3"/>
        <v>4</v>
      </c>
      <c r="AC39" s="13" t="s">
        <v>58</v>
      </c>
      <c r="AD39" s="154"/>
      <c r="AE39" s="155"/>
      <c r="AF39" s="16">
        <f t="shared" si="9"/>
        <v>0</v>
      </c>
      <c r="AG39" s="17"/>
      <c r="AH39" s="45"/>
      <c r="AI39" s="45"/>
      <c r="AJ39" s="45"/>
      <c r="AK39" s="45"/>
      <c r="AL39" s="45"/>
      <c r="AM39" s="232"/>
      <c r="AN39" s="233"/>
      <c r="AO39" s="47"/>
      <c r="AP39" s="47"/>
    </row>
    <row r="40" spans="1:42" s="4" customFormat="1" ht="132" customHeight="1" x14ac:dyDescent="2.1">
      <c r="B40" s="48" t="s">
        <v>59</v>
      </c>
      <c r="C40" s="142" t="s">
        <v>2</v>
      </c>
      <c r="D40" s="143"/>
      <c r="E40" s="142" t="s">
        <v>3</v>
      </c>
      <c r="F40" s="143"/>
      <c r="G40" s="142" t="s">
        <v>4</v>
      </c>
      <c r="H40" s="143"/>
      <c r="I40" s="142" t="s">
        <v>5</v>
      </c>
      <c r="J40" s="143"/>
      <c r="K40" s="142" t="s">
        <v>6</v>
      </c>
      <c r="L40" s="143"/>
      <c r="M40" s="142" t="s">
        <v>7</v>
      </c>
      <c r="N40" s="143"/>
      <c r="O40" s="142" t="s">
        <v>8</v>
      </c>
      <c r="P40" s="143"/>
      <c r="Q40" s="142" t="s">
        <v>9</v>
      </c>
      <c r="R40" s="143"/>
      <c r="S40" s="142" t="s">
        <v>10</v>
      </c>
      <c r="T40" s="143"/>
      <c r="U40" s="142" t="s">
        <v>11</v>
      </c>
      <c r="V40" s="143"/>
      <c r="W40" s="142" t="s">
        <v>12</v>
      </c>
      <c r="X40" s="143"/>
      <c r="Y40" s="5" t="s">
        <v>13</v>
      </c>
      <c r="Z40" s="118"/>
      <c r="AA40" s="49" t="s">
        <v>14</v>
      </c>
      <c r="AB40" s="49" t="s">
        <v>15</v>
      </c>
      <c r="AC40" s="48" t="s">
        <v>59</v>
      </c>
      <c r="AD40" s="148"/>
      <c r="AE40" s="149"/>
      <c r="AF40" s="6">
        <v>0</v>
      </c>
      <c r="AG40" s="7"/>
      <c r="AH40" s="2"/>
      <c r="AI40" s="2"/>
      <c r="AJ40" s="2"/>
      <c r="AK40" s="2"/>
      <c r="AL40" s="2"/>
      <c r="AM40" s="232"/>
      <c r="AN40" s="233"/>
      <c r="AO40" s="12"/>
      <c r="AP40" s="12"/>
    </row>
    <row r="41" spans="1:42" s="47" customFormat="1" ht="147" thickBot="1" x14ac:dyDescent="2.15">
      <c r="A41" s="12"/>
      <c r="B41" s="13" t="s">
        <v>60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13">
        <v>0</v>
      </c>
      <c r="AA41" s="14">
        <f t="shared" si="2"/>
        <v>0</v>
      </c>
      <c r="AB41" s="14">
        <f t="shared" si="3"/>
        <v>0</v>
      </c>
      <c r="AC41" s="13" t="s">
        <v>60</v>
      </c>
      <c r="AD41" s="50"/>
      <c r="AE41" s="51"/>
      <c r="AF41" s="16">
        <f>Z41</f>
        <v>0</v>
      </c>
      <c r="AG41" s="17"/>
      <c r="AH41" s="52"/>
      <c r="AI41" s="52"/>
      <c r="AJ41" s="52"/>
      <c r="AK41" s="52"/>
      <c r="AL41" s="52"/>
      <c r="AM41" s="232"/>
      <c r="AN41" s="233"/>
    </row>
    <row r="42" spans="1:42" s="47" customFormat="1" ht="146.25" x14ac:dyDescent="2.1">
      <c r="A42" s="12"/>
      <c r="B42" s="13" t="s">
        <v>61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13">
        <v>0</v>
      </c>
      <c r="AA42" s="14">
        <f t="shared" si="2"/>
        <v>0</v>
      </c>
      <c r="AB42" s="14">
        <f t="shared" si="3"/>
        <v>0</v>
      </c>
      <c r="AC42" s="13" t="s">
        <v>61</v>
      </c>
      <c r="AD42" s="208">
        <f>SUM(AA40:AA53)</f>
        <v>12</v>
      </c>
      <c r="AE42" s="209"/>
      <c r="AF42" s="16">
        <f t="shared" ref="AF42:AF59" si="15">Z42</f>
        <v>0</v>
      </c>
      <c r="AG42" s="17"/>
      <c r="AH42" s="182" t="s">
        <v>62</v>
      </c>
      <c r="AI42" s="183"/>
      <c r="AJ42" s="183"/>
      <c r="AK42" s="183"/>
      <c r="AL42" s="231"/>
      <c r="AM42" s="234"/>
      <c r="AN42" s="233"/>
    </row>
    <row r="43" spans="1:42" s="47" customFormat="1" ht="110.25" customHeight="1" x14ac:dyDescent="2.1">
      <c r="A43" s="12"/>
      <c r="B43" s="13" t="s">
        <v>63</v>
      </c>
      <c r="C43" s="14">
        <v>0</v>
      </c>
      <c r="D43" s="14">
        <v>1</v>
      </c>
      <c r="E43" s="14">
        <v>0</v>
      </c>
      <c r="F43" s="14">
        <v>1</v>
      </c>
      <c r="G43" s="14">
        <v>0</v>
      </c>
      <c r="H43" s="14">
        <v>1</v>
      </c>
      <c r="I43" s="14">
        <v>0</v>
      </c>
      <c r="J43" s="14">
        <v>1</v>
      </c>
      <c r="K43" s="14">
        <v>0</v>
      </c>
      <c r="L43" s="14">
        <v>1</v>
      </c>
      <c r="M43" s="14">
        <v>0</v>
      </c>
      <c r="N43" s="14">
        <v>0</v>
      </c>
      <c r="O43" s="14">
        <v>0</v>
      </c>
      <c r="P43" s="14">
        <v>1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13">
        <v>0</v>
      </c>
      <c r="AA43" s="14">
        <f t="shared" si="2"/>
        <v>0</v>
      </c>
      <c r="AB43" s="14">
        <f t="shared" si="3"/>
        <v>6</v>
      </c>
      <c r="AC43" s="13" t="s">
        <v>63</v>
      </c>
      <c r="AD43" s="208"/>
      <c r="AE43" s="209"/>
      <c r="AF43" s="16">
        <f t="shared" si="15"/>
        <v>0</v>
      </c>
      <c r="AG43" s="17"/>
      <c r="AH43" s="53"/>
      <c r="AI43" s="54"/>
      <c r="AJ43" s="54"/>
      <c r="AK43" s="54"/>
      <c r="AL43" s="55"/>
      <c r="AM43" s="234"/>
      <c r="AN43" s="233"/>
    </row>
    <row r="44" spans="1:42" s="47" customFormat="1" ht="110.25" customHeight="1" x14ac:dyDescent="2.1">
      <c r="A44" s="12"/>
      <c r="B44" s="13" t="s">
        <v>64</v>
      </c>
      <c r="C44" s="14">
        <v>0</v>
      </c>
      <c r="D44" s="14">
        <v>2</v>
      </c>
      <c r="E44" s="14">
        <v>2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>
        <v>0</v>
      </c>
      <c r="L44" s="14">
        <v>0</v>
      </c>
      <c r="M44" s="14">
        <v>0</v>
      </c>
      <c r="N44" s="14">
        <v>1</v>
      </c>
      <c r="O44" s="14">
        <v>0</v>
      </c>
      <c r="P44" s="14">
        <v>0</v>
      </c>
      <c r="Q44" s="14">
        <v>1</v>
      </c>
      <c r="R44" s="14">
        <v>1</v>
      </c>
      <c r="S44" s="14">
        <v>0</v>
      </c>
      <c r="T44" s="14">
        <v>1</v>
      </c>
      <c r="U44" s="14">
        <v>1</v>
      </c>
      <c r="V44" s="14">
        <v>0</v>
      </c>
      <c r="W44" s="14">
        <v>1</v>
      </c>
      <c r="X44" s="14">
        <v>0</v>
      </c>
      <c r="Y44" s="14">
        <v>3</v>
      </c>
      <c r="Z44" s="113">
        <v>1081400</v>
      </c>
      <c r="AA44" s="14">
        <f>SUM(C44,E44,G44,I44,K44,M44,O44,Q44,S44,U44,W44,Y44)</f>
        <v>8</v>
      </c>
      <c r="AB44" s="14">
        <f t="shared" si="3"/>
        <v>7</v>
      </c>
      <c r="AC44" s="13" t="s">
        <v>64</v>
      </c>
      <c r="AD44" s="208"/>
      <c r="AE44" s="209"/>
      <c r="AF44" s="16">
        <f t="shared" si="15"/>
        <v>1081400</v>
      </c>
      <c r="AG44" s="17"/>
      <c r="AH44" s="53"/>
      <c r="AI44" s="54"/>
      <c r="AJ44" s="54"/>
      <c r="AK44" s="54"/>
      <c r="AL44" s="55"/>
      <c r="AM44" s="234"/>
      <c r="AN44" s="233"/>
    </row>
    <row r="45" spans="1:42" s="47" customFormat="1" ht="110.25" customHeight="1" x14ac:dyDescent="2.1">
      <c r="A45" s="12"/>
      <c r="B45" s="13" t="s">
        <v>65</v>
      </c>
      <c r="C45" s="14">
        <v>1</v>
      </c>
      <c r="D45" s="14">
        <v>0</v>
      </c>
      <c r="E45" s="14">
        <v>0</v>
      </c>
      <c r="F45" s="14">
        <v>1</v>
      </c>
      <c r="G45" s="14">
        <v>0</v>
      </c>
      <c r="H45" s="14">
        <v>2</v>
      </c>
      <c r="I45" s="14">
        <v>0</v>
      </c>
      <c r="J45" s="14">
        <v>1</v>
      </c>
      <c r="K45" s="14">
        <v>0</v>
      </c>
      <c r="L45" s="14">
        <v>2</v>
      </c>
      <c r="M45" s="14">
        <v>1</v>
      </c>
      <c r="N45" s="14">
        <v>0</v>
      </c>
      <c r="O45" s="14">
        <v>0</v>
      </c>
      <c r="P45" s="14">
        <v>1</v>
      </c>
      <c r="Q45" s="14">
        <v>1</v>
      </c>
      <c r="R45" s="14">
        <v>0</v>
      </c>
      <c r="S45" s="14">
        <v>1</v>
      </c>
      <c r="T45" s="14">
        <v>0</v>
      </c>
      <c r="U45" s="14">
        <v>0</v>
      </c>
      <c r="V45" s="14">
        <v>2</v>
      </c>
      <c r="W45" s="14">
        <v>0</v>
      </c>
      <c r="X45" s="14">
        <v>0</v>
      </c>
      <c r="Y45" s="14">
        <v>0</v>
      </c>
      <c r="Z45" s="113">
        <v>569800</v>
      </c>
      <c r="AA45" s="14">
        <f t="shared" si="2"/>
        <v>4</v>
      </c>
      <c r="AB45" s="14">
        <f t="shared" si="3"/>
        <v>9</v>
      </c>
      <c r="AC45" s="13" t="s">
        <v>65</v>
      </c>
      <c r="AD45" s="208"/>
      <c r="AE45" s="209"/>
      <c r="AF45" s="16">
        <f t="shared" si="15"/>
        <v>569800</v>
      </c>
      <c r="AG45" s="17"/>
      <c r="AH45" s="53"/>
      <c r="AI45" s="54"/>
      <c r="AJ45" s="54"/>
      <c r="AK45" s="54"/>
      <c r="AL45" s="55"/>
      <c r="AM45" s="234"/>
      <c r="AN45" s="233"/>
    </row>
    <row r="46" spans="1:42" s="47" customFormat="1" ht="110.25" customHeight="1" x14ac:dyDescent="2.1">
      <c r="A46" s="12"/>
      <c r="B46" s="13" t="s">
        <v>66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13">
        <v>0</v>
      </c>
      <c r="AA46" s="14">
        <f t="shared" si="2"/>
        <v>0</v>
      </c>
      <c r="AB46" s="14">
        <f t="shared" si="3"/>
        <v>0</v>
      </c>
      <c r="AC46" s="13" t="s">
        <v>66</v>
      </c>
      <c r="AD46" s="208"/>
      <c r="AE46" s="209"/>
      <c r="AF46" s="16">
        <f t="shared" si="15"/>
        <v>0</v>
      </c>
      <c r="AG46" s="17"/>
      <c r="AH46" s="53"/>
      <c r="AI46" s="54"/>
      <c r="AJ46" s="54"/>
      <c r="AK46" s="54"/>
      <c r="AL46" s="55"/>
      <c r="AM46" s="234"/>
      <c r="AN46" s="233"/>
    </row>
    <row r="47" spans="1:42" s="47" customFormat="1" ht="110.25" customHeight="1" x14ac:dyDescent="2.1">
      <c r="A47" s="12"/>
      <c r="B47" s="13" t="s">
        <v>67</v>
      </c>
      <c r="C47" s="14">
        <v>0</v>
      </c>
      <c r="D47" s="14">
        <v>1</v>
      </c>
      <c r="E47" s="14">
        <v>0</v>
      </c>
      <c r="F47" s="14">
        <v>0</v>
      </c>
      <c r="G47" s="14">
        <v>0</v>
      </c>
      <c r="H47" s="14">
        <v>1</v>
      </c>
      <c r="I47" s="14">
        <v>0</v>
      </c>
      <c r="J47" s="14">
        <v>0</v>
      </c>
      <c r="K47" s="14">
        <v>0</v>
      </c>
      <c r="L47" s="14">
        <v>1</v>
      </c>
      <c r="M47" s="14">
        <v>0</v>
      </c>
      <c r="N47" s="14">
        <v>1</v>
      </c>
      <c r="O47" s="14">
        <v>0</v>
      </c>
      <c r="P47" s="14">
        <v>0</v>
      </c>
      <c r="Q47" s="14">
        <v>0</v>
      </c>
      <c r="R47" s="14">
        <v>1</v>
      </c>
      <c r="S47" s="14">
        <v>0</v>
      </c>
      <c r="T47" s="14">
        <v>1</v>
      </c>
      <c r="U47" s="14">
        <v>0</v>
      </c>
      <c r="V47" s="14">
        <v>1</v>
      </c>
      <c r="W47" s="14">
        <v>0</v>
      </c>
      <c r="X47" s="14">
        <v>1</v>
      </c>
      <c r="Y47" s="14">
        <v>0</v>
      </c>
      <c r="Z47" s="113">
        <v>0</v>
      </c>
      <c r="AA47" s="14">
        <f t="shared" si="2"/>
        <v>0</v>
      </c>
      <c r="AB47" s="14">
        <f t="shared" si="3"/>
        <v>8</v>
      </c>
      <c r="AC47" s="13" t="s">
        <v>67</v>
      </c>
      <c r="AD47" s="208"/>
      <c r="AE47" s="209"/>
      <c r="AF47" s="16">
        <f t="shared" si="15"/>
        <v>0</v>
      </c>
      <c r="AG47" s="17"/>
      <c r="AH47" s="213">
        <f>SUM(AF41:AF53)</f>
        <v>1651200</v>
      </c>
      <c r="AI47" s="211"/>
      <c r="AJ47" s="211"/>
      <c r="AK47" s="211"/>
      <c r="AL47" s="212"/>
      <c r="AM47" s="234"/>
      <c r="AN47" s="233"/>
    </row>
    <row r="48" spans="1:42" s="47" customFormat="1" ht="123.75" customHeight="1" x14ac:dyDescent="2.1">
      <c r="A48" s="12"/>
      <c r="B48" s="13" t="s">
        <v>68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13">
        <v>0</v>
      </c>
      <c r="AA48" s="14">
        <f t="shared" si="2"/>
        <v>0</v>
      </c>
      <c r="AB48" s="14">
        <f t="shared" si="3"/>
        <v>0</v>
      </c>
      <c r="AC48" s="13" t="s">
        <v>68</v>
      </c>
      <c r="AD48" s="208"/>
      <c r="AE48" s="209"/>
      <c r="AF48" s="16">
        <f t="shared" si="15"/>
        <v>0</v>
      </c>
      <c r="AG48" s="17"/>
      <c r="AH48" s="53"/>
      <c r="AI48" s="54"/>
      <c r="AJ48" s="54"/>
      <c r="AK48" s="54"/>
      <c r="AL48" s="55"/>
      <c r="AM48" s="234"/>
      <c r="AN48" s="233"/>
    </row>
    <row r="49" spans="1:42" s="47" customFormat="1" ht="146.25" customHeight="1" x14ac:dyDescent="2.1">
      <c r="A49" s="12"/>
      <c r="B49" s="13" t="s">
        <v>69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17">
        <v>0</v>
      </c>
      <c r="AA49" s="14">
        <f t="shared" si="2"/>
        <v>0</v>
      </c>
      <c r="AB49" s="14">
        <f t="shared" si="3"/>
        <v>0</v>
      </c>
      <c r="AC49" s="13" t="s">
        <v>69</v>
      </c>
      <c r="AD49" s="208"/>
      <c r="AE49" s="209"/>
      <c r="AF49" s="16">
        <f t="shared" si="15"/>
        <v>0</v>
      </c>
      <c r="AG49" s="17"/>
      <c r="AH49" s="53"/>
      <c r="AI49" s="54"/>
      <c r="AJ49" s="54"/>
      <c r="AK49" s="54"/>
      <c r="AL49" s="55"/>
      <c r="AM49" s="234"/>
      <c r="AN49" s="233"/>
    </row>
    <row r="50" spans="1:42" s="47" customFormat="1" ht="108.75" customHeight="1" x14ac:dyDescent="2.1">
      <c r="A50" s="12"/>
      <c r="B50" s="13" t="s">
        <v>70</v>
      </c>
      <c r="C50" s="14">
        <v>0</v>
      </c>
      <c r="D50" s="14">
        <v>0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17">
        <v>0</v>
      </c>
      <c r="AA50" s="14">
        <f t="shared" si="2"/>
        <v>0</v>
      </c>
      <c r="AB50" s="14">
        <f t="shared" si="3"/>
        <v>1</v>
      </c>
      <c r="AC50" s="13" t="s">
        <v>70</v>
      </c>
      <c r="AD50" s="208"/>
      <c r="AE50" s="209"/>
      <c r="AF50" s="16">
        <f t="shared" si="15"/>
        <v>0</v>
      </c>
      <c r="AG50" s="17"/>
      <c r="AH50" s="53"/>
      <c r="AI50" s="54"/>
      <c r="AJ50" s="54"/>
      <c r="AK50" s="54"/>
      <c r="AL50" s="55"/>
      <c r="AM50" s="234"/>
      <c r="AN50" s="233"/>
    </row>
    <row r="51" spans="1:42" s="47" customFormat="1" ht="146.25" hidden="1" x14ac:dyDescent="2.1">
      <c r="A51" s="12"/>
      <c r="B51" s="13" t="s">
        <v>71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13">
        <v>0</v>
      </c>
      <c r="AA51" s="14">
        <f t="shared" si="2"/>
        <v>0</v>
      </c>
      <c r="AB51" s="14">
        <f t="shared" si="3"/>
        <v>0</v>
      </c>
      <c r="AC51" s="13" t="s">
        <v>71</v>
      </c>
      <c r="AD51" s="208"/>
      <c r="AE51" s="209"/>
      <c r="AF51" s="16">
        <f t="shared" si="15"/>
        <v>0</v>
      </c>
      <c r="AG51" s="17"/>
      <c r="AH51" s="53"/>
      <c r="AI51" s="54"/>
      <c r="AJ51" s="54"/>
      <c r="AK51" s="54"/>
      <c r="AL51" s="55"/>
      <c r="AM51" s="234"/>
      <c r="AN51" s="233"/>
    </row>
    <row r="52" spans="1:42" s="47" customFormat="1" ht="146.25" hidden="1" customHeight="1" x14ac:dyDescent="2.1">
      <c r="A52" s="12"/>
      <c r="B52" s="13" t="s">
        <v>72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13">
        <v>0</v>
      </c>
      <c r="AA52" s="14">
        <f t="shared" si="2"/>
        <v>0</v>
      </c>
      <c r="AB52" s="14">
        <f t="shared" si="3"/>
        <v>0</v>
      </c>
      <c r="AC52" s="13" t="s">
        <v>72</v>
      </c>
      <c r="AD52" s="59"/>
      <c r="AE52" s="60"/>
      <c r="AF52" s="16">
        <f t="shared" si="15"/>
        <v>0</v>
      </c>
      <c r="AG52" s="17"/>
      <c r="AH52" s="53"/>
      <c r="AI52" s="54"/>
      <c r="AJ52" s="54"/>
      <c r="AK52" s="54"/>
      <c r="AL52" s="55"/>
      <c r="AM52" s="234"/>
      <c r="AN52" s="233"/>
    </row>
    <row r="53" spans="1:42" s="47" customFormat="1" ht="108.75" hidden="1" customHeight="1" thickBot="1" x14ac:dyDescent="2.15">
      <c r="A53" s="12"/>
      <c r="B53" s="13" t="s">
        <v>73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13">
        <v>0</v>
      </c>
      <c r="AA53" s="14">
        <f t="shared" si="2"/>
        <v>0</v>
      </c>
      <c r="AB53" s="14">
        <f t="shared" si="3"/>
        <v>0</v>
      </c>
      <c r="AC53" s="13" t="s">
        <v>73</v>
      </c>
      <c r="AD53" s="59"/>
      <c r="AE53" s="60"/>
      <c r="AF53" s="16">
        <f t="shared" si="15"/>
        <v>0</v>
      </c>
      <c r="AG53" s="17"/>
      <c r="AH53" s="61"/>
      <c r="AI53" s="62"/>
      <c r="AJ53" s="62"/>
      <c r="AK53" s="62"/>
      <c r="AL53" s="63"/>
      <c r="AM53" s="234"/>
      <c r="AN53" s="233"/>
    </row>
    <row r="54" spans="1:42" s="47" customFormat="1" ht="110.25" customHeight="1" x14ac:dyDescent="2.1">
      <c r="A54" s="12"/>
      <c r="B54" s="13"/>
      <c r="C54" s="30">
        <f t="shared" ref="C54:Y54" si="16">SUM(C41:C53)</f>
        <v>1</v>
      </c>
      <c r="D54" s="30">
        <f t="shared" si="16"/>
        <v>4</v>
      </c>
      <c r="E54" s="30">
        <f t="shared" si="16"/>
        <v>2</v>
      </c>
      <c r="F54" s="30">
        <f t="shared" si="16"/>
        <v>4</v>
      </c>
      <c r="G54" s="30">
        <f t="shared" si="16"/>
        <v>0</v>
      </c>
      <c r="H54" s="30">
        <f t="shared" si="16"/>
        <v>4</v>
      </c>
      <c r="I54" s="30">
        <f t="shared" si="16"/>
        <v>0</v>
      </c>
      <c r="J54" s="30">
        <f t="shared" si="16"/>
        <v>3</v>
      </c>
      <c r="K54" s="30">
        <f t="shared" si="16"/>
        <v>0</v>
      </c>
      <c r="L54" s="30">
        <f t="shared" si="16"/>
        <v>4</v>
      </c>
      <c r="M54" s="30">
        <f t="shared" si="16"/>
        <v>1</v>
      </c>
      <c r="N54" s="30">
        <f t="shared" si="16"/>
        <v>2</v>
      </c>
      <c r="O54" s="30">
        <f t="shared" si="16"/>
        <v>0</v>
      </c>
      <c r="P54" s="30">
        <f t="shared" si="16"/>
        <v>2</v>
      </c>
      <c r="Q54" s="30">
        <f t="shared" si="16"/>
        <v>2</v>
      </c>
      <c r="R54" s="30">
        <f t="shared" si="16"/>
        <v>2</v>
      </c>
      <c r="S54" s="30">
        <f t="shared" si="16"/>
        <v>1</v>
      </c>
      <c r="T54" s="30">
        <f t="shared" si="16"/>
        <v>2</v>
      </c>
      <c r="U54" s="30">
        <f t="shared" si="16"/>
        <v>1</v>
      </c>
      <c r="V54" s="30">
        <f t="shared" si="16"/>
        <v>3</v>
      </c>
      <c r="W54" s="30">
        <f t="shared" si="16"/>
        <v>1</v>
      </c>
      <c r="X54" s="30">
        <f t="shared" si="16"/>
        <v>1</v>
      </c>
      <c r="Y54" s="30">
        <f t="shared" si="16"/>
        <v>3</v>
      </c>
      <c r="Z54" s="114">
        <v>0</v>
      </c>
      <c r="AA54" s="14"/>
      <c r="AB54" s="14"/>
      <c r="AC54" s="13"/>
      <c r="AD54" s="224"/>
      <c r="AE54" s="225"/>
      <c r="AF54" s="16">
        <f t="shared" si="15"/>
        <v>0</v>
      </c>
      <c r="AG54" s="17"/>
      <c r="AH54" s="54"/>
      <c r="AI54" s="54"/>
      <c r="AJ54" s="54"/>
      <c r="AK54" s="54"/>
      <c r="AL54" s="54"/>
      <c r="AM54" s="232"/>
      <c r="AN54" s="233"/>
    </row>
    <row r="55" spans="1:42" s="12" customFormat="1" ht="110.25" customHeight="1" x14ac:dyDescent="2.1">
      <c r="B55" s="13" t="s">
        <v>74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13">
        <v>0</v>
      </c>
      <c r="AA55" s="14">
        <f t="shared" si="2"/>
        <v>0</v>
      </c>
      <c r="AB55" s="14">
        <f t="shared" si="3"/>
        <v>0</v>
      </c>
      <c r="AC55" s="13" t="s">
        <v>74</v>
      </c>
      <c r="AD55" s="154"/>
      <c r="AE55" s="155"/>
      <c r="AF55" s="16">
        <f t="shared" si="15"/>
        <v>0</v>
      </c>
      <c r="AG55" s="17"/>
      <c r="AH55" s="2"/>
      <c r="AI55" s="2"/>
      <c r="AJ55" s="2"/>
      <c r="AK55" s="2"/>
      <c r="AL55" s="2"/>
      <c r="AM55" s="232"/>
      <c r="AN55" s="233"/>
      <c r="AO55" s="4"/>
      <c r="AP55" s="4"/>
    </row>
    <row r="56" spans="1:42" s="64" customFormat="1" ht="23.25" customHeight="1" x14ac:dyDescent="2.1">
      <c r="B56" s="65"/>
      <c r="C56" s="14">
        <v>0</v>
      </c>
      <c r="D56" s="14"/>
      <c r="E56" s="14">
        <v>0</v>
      </c>
      <c r="F56" s="14"/>
      <c r="G56" s="14">
        <v>0</v>
      </c>
      <c r="H56" s="14"/>
      <c r="I56" s="14">
        <v>0</v>
      </c>
      <c r="J56" s="14"/>
      <c r="K56" s="14">
        <v>0</v>
      </c>
      <c r="L56" s="14"/>
      <c r="M56" s="14">
        <v>0</v>
      </c>
      <c r="N56" s="14"/>
      <c r="O56" s="14">
        <v>0</v>
      </c>
      <c r="P56" s="14"/>
      <c r="Q56" s="14">
        <v>0</v>
      </c>
      <c r="R56" s="14"/>
      <c r="S56" s="14">
        <v>0</v>
      </c>
      <c r="T56" s="14"/>
      <c r="U56" s="14">
        <v>0</v>
      </c>
      <c r="V56" s="14"/>
      <c r="W56" s="14">
        <v>0</v>
      </c>
      <c r="X56" s="14"/>
      <c r="Y56" s="14">
        <v>0</v>
      </c>
      <c r="Z56" s="113">
        <v>0</v>
      </c>
      <c r="AA56" s="14">
        <f t="shared" ref="AA56" si="17">SUM(D56,F56,H56,J56,L56,N56,P56,R56,T56,V56,X56,Y56)</f>
        <v>0</v>
      </c>
      <c r="AB56" s="14">
        <f t="shared" ref="AB56" si="18">SUM(C56,E56,G56,I56,K56,M56,O56,Q56,S56,U56,W56)</f>
        <v>0</v>
      </c>
      <c r="AC56" s="65"/>
      <c r="AD56" s="66"/>
      <c r="AE56" s="66"/>
      <c r="AF56" s="16">
        <f t="shared" si="15"/>
        <v>0</v>
      </c>
      <c r="AG56" s="17"/>
      <c r="AH56" s="2"/>
      <c r="AI56" s="2"/>
      <c r="AJ56" s="2"/>
      <c r="AK56" s="2"/>
      <c r="AL56" s="2"/>
      <c r="AM56" s="232"/>
      <c r="AN56" s="233"/>
      <c r="AO56" s="67"/>
      <c r="AP56" s="67"/>
    </row>
    <row r="57" spans="1:42" ht="108.75" customHeight="1" x14ac:dyDescent="2.1">
      <c r="B57" s="15" t="s">
        <v>75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13">
        <v>0</v>
      </c>
      <c r="AA57" s="14">
        <f t="shared" si="2"/>
        <v>0</v>
      </c>
      <c r="AB57" s="14">
        <f t="shared" si="3"/>
        <v>0</v>
      </c>
      <c r="AC57" s="68" t="s">
        <v>76</v>
      </c>
      <c r="AD57" s="21">
        <f>AA57*4</f>
        <v>0</v>
      </c>
      <c r="AE57" s="226">
        <f>SUM(C59:Y59)</f>
        <v>4</v>
      </c>
      <c r="AF57" s="16">
        <f t="shared" si="15"/>
        <v>0</v>
      </c>
      <c r="AG57" s="17"/>
      <c r="AH57" s="69"/>
      <c r="AI57" s="69"/>
      <c r="AM57" s="232"/>
      <c r="AN57" s="233"/>
    </row>
    <row r="58" spans="1:42" ht="108.75" customHeight="1" x14ac:dyDescent="2.1">
      <c r="B58" s="15" t="s">
        <v>77</v>
      </c>
      <c r="C58" s="14">
        <v>0</v>
      </c>
      <c r="D58" s="14">
        <v>0</v>
      </c>
      <c r="E58" s="14">
        <v>0</v>
      </c>
      <c r="F58" s="14">
        <v>0</v>
      </c>
      <c r="G58" s="14">
        <v>1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13">
        <v>70400</v>
      </c>
      <c r="AA58" s="14">
        <f t="shared" si="2"/>
        <v>1</v>
      </c>
      <c r="AB58" s="14">
        <f t="shared" si="3"/>
        <v>0</v>
      </c>
      <c r="AC58" s="68" t="s">
        <v>77</v>
      </c>
      <c r="AD58" s="21">
        <f>AA58*4</f>
        <v>4</v>
      </c>
      <c r="AE58" s="227"/>
      <c r="AF58" s="16">
        <f t="shared" si="15"/>
        <v>70400</v>
      </c>
      <c r="AG58" s="17"/>
      <c r="AM58" s="232"/>
      <c r="AN58" s="233"/>
    </row>
    <row r="59" spans="1:42" ht="110.25" customHeight="1" x14ac:dyDescent="2.1">
      <c r="B59" s="15"/>
      <c r="C59" s="30">
        <f>(C57+C58)*4</f>
        <v>0</v>
      </c>
      <c r="D59" s="30">
        <f t="shared" ref="D59:Y59" si="19">(D57+D58)*4</f>
        <v>0</v>
      </c>
      <c r="E59" s="30">
        <f t="shared" si="19"/>
        <v>0</v>
      </c>
      <c r="F59" s="30">
        <f t="shared" si="19"/>
        <v>0</v>
      </c>
      <c r="G59" s="30">
        <f>(G57+G58)*4</f>
        <v>4</v>
      </c>
      <c r="H59" s="30">
        <f t="shared" si="19"/>
        <v>0</v>
      </c>
      <c r="I59" s="30">
        <f t="shared" si="19"/>
        <v>0</v>
      </c>
      <c r="J59" s="30">
        <f t="shared" si="19"/>
        <v>0</v>
      </c>
      <c r="K59" s="30">
        <f t="shared" si="19"/>
        <v>0</v>
      </c>
      <c r="L59" s="30">
        <f t="shared" si="19"/>
        <v>0</v>
      </c>
      <c r="M59" s="30">
        <f t="shared" si="19"/>
        <v>0</v>
      </c>
      <c r="N59" s="30">
        <f t="shared" si="19"/>
        <v>0</v>
      </c>
      <c r="O59" s="30">
        <f t="shared" si="19"/>
        <v>0</v>
      </c>
      <c r="P59" s="30">
        <f t="shared" si="19"/>
        <v>0</v>
      </c>
      <c r="Q59" s="30">
        <f t="shared" si="19"/>
        <v>0</v>
      </c>
      <c r="R59" s="30">
        <f t="shared" si="19"/>
        <v>0</v>
      </c>
      <c r="S59" s="30">
        <f t="shared" si="19"/>
        <v>0</v>
      </c>
      <c r="T59" s="30">
        <f t="shared" si="19"/>
        <v>0</v>
      </c>
      <c r="U59" s="30">
        <f t="shared" si="19"/>
        <v>0</v>
      </c>
      <c r="V59" s="30">
        <f t="shared" si="19"/>
        <v>0</v>
      </c>
      <c r="W59" s="30">
        <f t="shared" si="19"/>
        <v>0</v>
      </c>
      <c r="X59" s="30">
        <f t="shared" si="19"/>
        <v>0</v>
      </c>
      <c r="Y59" s="30">
        <f t="shared" si="19"/>
        <v>0</v>
      </c>
      <c r="Z59" s="114"/>
      <c r="AA59" s="14"/>
      <c r="AB59" s="14"/>
      <c r="AC59" s="68"/>
      <c r="AD59" s="150"/>
      <c r="AE59" s="151"/>
      <c r="AF59" s="33">
        <f t="shared" si="15"/>
        <v>0</v>
      </c>
      <c r="AG59" s="17"/>
      <c r="AM59" s="232"/>
      <c r="AN59" s="233"/>
    </row>
    <row r="60" spans="1:42" ht="123.75" customHeight="1" x14ac:dyDescent="2.1">
      <c r="B60" s="172" t="s">
        <v>78</v>
      </c>
      <c r="C60" s="142" t="s">
        <v>2</v>
      </c>
      <c r="D60" s="143"/>
      <c r="E60" s="142" t="s">
        <v>3</v>
      </c>
      <c r="F60" s="143"/>
      <c r="G60" s="142" t="s">
        <v>4</v>
      </c>
      <c r="H60" s="143"/>
      <c r="I60" s="142" t="s">
        <v>5</v>
      </c>
      <c r="J60" s="143"/>
      <c r="K60" s="142" t="s">
        <v>6</v>
      </c>
      <c r="L60" s="143"/>
      <c r="M60" s="142" t="s">
        <v>7</v>
      </c>
      <c r="N60" s="143"/>
      <c r="O60" s="142" t="s">
        <v>8</v>
      </c>
      <c r="P60" s="143"/>
      <c r="Q60" s="142" t="s">
        <v>9</v>
      </c>
      <c r="R60" s="143"/>
      <c r="S60" s="142" t="s">
        <v>10</v>
      </c>
      <c r="T60" s="143"/>
      <c r="U60" s="142" t="s">
        <v>11</v>
      </c>
      <c r="V60" s="143"/>
      <c r="W60" s="142" t="s">
        <v>12</v>
      </c>
      <c r="X60" s="143"/>
      <c r="Y60" s="172" t="s">
        <v>13</v>
      </c>
      <c r="Z60" s="111"/>
      <c r="AA60" s="172" t="s">
        <v>14</v>
      </c>
      <c r="AB60" s="172" t="s">
        <v>15</v>
      </c>
      <c r="AC60" s="172" t="s">
        <v>78</v>
      </c>
      <c r="AD60" s="148"/>
      <c r="AE60" s="149"/>
      <c r="AF60" s="6" t="s">
        <v>17</v>
      </c>
      <c r="AG60" s="7"/>
      <c r="AM60" s="70"/>
      <c r="AN60" s="71"/>
    </row>
    <row r="61" spans="1:42" s="4" customFormat="1" ht="138" customHeight="1" x14ac:dyDescent="2.35">
      <c r="B61" s="173"/>
      <c r="C61" s="9" t="s">
        <v>18</v>
      </c>
      <c r="D61" s="9" t="s">
        <v>19</v>
      </c>
      <c r="E61" s="9" t="s">
        <v>18</v>
      </c>
      <c r="F61" s="9" t="s">
        <v>19</v>
      </c>
      <c r="G61" s="9" t="s">
        <v>18</v>
      </c>
      <c r="H61" s="9" t="s">
        <v>19</v>
      </c>
      <c r="I61" s="9" t="s">
        <v>18</v>
      </c>
      <c r="J61" s="9" t="s">
        <v>19</v>
      </c>
      <c r="K61" s="9" t="s">
        <v>18</v>
      </c>
      <c r="L61" s="9" t="s">
        <v>19</v>
      </c>
      <c r="M61" s="9" t="s">
        <v>18</v>
      </c>
      <c r="N61" s="9" t="s">
        <v>19</v>
      </c>
      <c r="O61" s="9" t="s">
        <v>18</v>
      </c>
      <c r="P61" s="9" t="s">
        <v>19</v>
      </c>
      <c r="Q61" s="9" t="s">
        <v>18</v>
      </c>
      <c r="R61" s="9" t="s">
        <v>19</v>
      </c>
      <c r="S61" s="9" t="s">
        <v>18</v>
      </c>
      <c r="T61" s="9" t="s">
        <v>19</v>
      </c>
      <c r="U61" s="9" t="s">
        <v>18</v>
      </c>
      <c r="V61" s="9" t="s">
        <v>19</v>
      </c>
      <c r="W61" s="9" t="s">
        <v>18</v>
      </c>
      <c r="X61" s="9" t="s">
        <v>19</v>
      </c>
      <c r="Y61" s="173"/>
      <c r="Z61" s="112"/>
      <c r="AA61" s="173"/>
      <c r="AB61" s="173"/>
      <c r="AC61" s="173"/>
      <c r="AD61" s="10"/>
      <c r="AE61" s="11"/>
      <c r="AF61" s="6"/>
      <c r="AG61" s="7"/>
      <c r="AH61" s="2"/>
      <c r="AI61" s="2"/>
      <c r="AJ61" s="2"/>
      <c r="AK61" s="2"/>
      <c r="AL61" s="2"/>
      <c r="AM61" s="8"/>
      <c r="AN61" s="8"/>
    </row>
    <row r="62" spans="1:42" s="12" customFormat="1" ht="113.25" hidden="1" customHeight="1" x14ac:dyDescent="2.1">
      <c r="B62" s="13" t="s">
        <v>79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13">
        <v>0</v>
      </c>
      <c r="AA62" s="14">
        <f t="shared" ref="AA62:AA68" si="20">SUM(C62,E62,G62,I62,K62,M62,O62,Q62,S62,U62,W62,Y62)</f>
        <v>0</v>
      </c>
      <c r="AB62" s="14">
        <f t="shared" ref="AB62:AB68" si="21">SUM(D62,F62,H62,J62,L62,N62,P62,R62,T62,V62,X62)</f>
        <v>0</v>
      </c>
      <c r="AC62" s="13" t="s">
        <v>79</v>
      </c>
      <c r="AD62" s="176">
        <f>SUM(AA62:AA68)</f>
        <v>3</v>
      </c>
      <c r="AE62" s="177"/>
      <c r="AF62" s="16">
        <f>Z62</f>
        <v>0</v>
      </c>
      <c r="AG62" s="17"/>
      <c r="AH62" s="72"/>
      <c r="AI62" s="73"/>
      <c r="AJ62" s="73"/>
      <c r="AK62" s="73"/>
      <c r="AL62" s="74"/>
      <c r="AM62" s="70"/>
      <c r="AN62" s="71"/>
    </row>
    <row r="63" spans="1:42" s="12" customFormat="1" ht="113.25" customHeight="1" x14ac:dyDescent="2.1">
      <c r="B63" s="13" t="s">
        <v>80</v>
      </c>
      <c r="C63" s="14">
        <v>0</v>
      </c>
      <c r="D63" s="14">
        <v>1</v>
      </c>
      <c r="E63" s="14">
        <v>0</v>
      </c>
      <c r="F63" s="14">
        <v>0</v>
      </c>
      <c r="G63" s="14">
        <v>0</v>
      </c>
      <c r="H63" s="14">
        <v>0</v>
      </c>
      <c r="I63" s="14">
        <v>1</v>
      </c>
      <c r="J63" s="14">
        <v>0</v>
      </c>
      <c r="K63" s="14">
        <v>0</v>
      </c>
      <c r="L63" s="14">
        <v>1</v>
      </c>
      <c r="M63" s="14">
        <v>0</v>
      </c>
      <c r="N63" s="14">
        <v>0</v>
      </c>
      <c r="O63" s="14">
        <v>0</v>
      </c>
      <c r="P63" s="14">
        <v>1</v>
      </c>
      <c r="Q63" s="14">
        <v>1</v>
      </c>
      <c r="R63" s="14">
        <v>1</v>
      </c>
      <c r="S63" s="14">
        <v>0</v>
      </c>
      <c r="T63" s="14">
        <v>1</v>
      </c>
      <c r="U63" s="14">
        <v>0</v>
      </c>
      <c r="V63" s="14">
        <v>1</v>
      </c>
      <c r="W63" s="14">
        <v>0</v>
      </c>
      <c r="X63" s="14">
        <v>2</v>
      </c>
      <c r="Y63" s="14">
        <v>0</v>
      </c>
      <c r="Z63" s="113">
        <v>46200</v>
      </c>
      <c r="AA63" s="14">
        <f t="shared" si="20"/>
        <v>2</v>
      </c>
      <c r="AB63" s="14">
        <f t="shared" si="21"/>
        <v>8</v>
      </c>
      <c r="AC63" s="13" t="s">
        <v>80</v>
      </c>
      <c r="AD63" s="208"/>
      <c r="AE63" s="209"/>
      <c r="AF63" s="16">
        <f t="shared" ref="AF63:AF68" si="22">Z63</f>
        <v>46200</v>
      </c>
      <c r="AG63" s="17"/>
      <c r="AH63" s="210" t="s">
        <v>78</v>
      </c>
      <c r="AI63" s="211"/>
      <c r="AJ63" s="211"/>
      <c r="AK63" s="211"/>
      <c r="AL63" s="212"/>
      <c r="AM63" s="70"/>
      <c r="AN63" s="71"/>
    </row>
    <row r="64" spans="1:42" s="12" customFormat="1" ht="113.25" customHeight="1" x14ac:dyDescent="2.1">
      <c r="B64" s="13" t="s">
        <v>81</v>
      </c>
      <c r="C64" s="14">
        <v>0</v>
      </c>
      <c r="D64" s="14">
        <v>1</v>
      </c>
      <c r="E64" s="14">
        <v>0</v>
      </c>
      <c r="F64" s="14">
        <v>3</v>
      </c>
      <c r="G64" s="14">
        <v>0</v>
      </c>
      <c r="H64" s="14">
        <v>0</v>
      </c>
      <c r="I64" s="14">
        <v>0</v>
      </c>
      <c r="J64" s="14">
        <v>1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2</v>
      </c>
      <c r="S64" s="14">
        <v>0</v>
      </c>
      <c r="T64" s="14">
        <v>2</v>
      </c>
      <c r="U64" s="14">
        <v>0</v>
      </c>
      <c r="V64" s="14">
        <v>3</v>
      </c>
      <c r="W64" s="14">
        <v>0</v>
      </c>
      <c r="X64" s="14">
        <v>0</v>
      </c>
      <c r="Y64" s="14">
        <v>0</v>
      </c>
      <c r="Z64" s="113">
        <v>0</v>
      </c>
      <c r="AA64" s="14">
        <f t="shared" si="20"/>
        <v>0</v>
      </c>
      <c r="AB64" s="14">
        <f t="shared" si="21"/>
        <v>12</v>
      </c>
      <c r="AC64" s="13" t="s">
        <v>81</v>
      </c>
      <c r="AD64" s="208"/>
      <c r="AE64" s="209"/>
      <c r="AF64" s="16">
        <f t="shared" si="22"/>
        <v>0</v>
      </c>
      <c r="AG64" s="17"/>
      <c r="AH64" s="213">
        <f>SUM(AF62:AF68)</f>
        <v>68200</v>
      </c>
      <c r="AI64" s="214"/>
      <c r="AJ64" s="214"/>
      <c r="AK64" s="214"/>
      <c r="AL64" s="215"/>
      <c r="AM64" s="70"/>
      <c r="AN64" s="71"/>
    </row>
    <row r="65" spans="2:42" s="12" customFormat="1" ht="113.25" customHeight="1" x14ac:dyDescent="2.1">
      <c r="B65" s="13" t="s">
        <v>82</v>
      </c>
      <c r="C65" s="14">
        <v>0</v>
      </c>
      <c r="D65" s="14">
        <v>0</v>
      </c>
      <c r="E65" s="14">
        <v>0</v>
      </c>
      <c r="F65" s="14">
        <v>1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13">
        <v>0</v>
      </c>
      <c r="AA65" s="14">
        <f t="shared" si="20"/>
        <v>0</v>
      </c>
      <c r="AB65" s="14">
        <f t="shared" si="21"/>
        <v>1</v>
      </c>
      <c r="AC65" s="13" t="s">
        <v>82</v>
      </c>
      <c r="AD65" s="208"/>
      <c r="AE65" s="209"/>
      <c r="AF65" s="16">
        <f t="shared" si="22"/>
        <v>0</v>
      </c>
      <c r="AG65" s="17"/>
      <c r="AH65" s="56"/>
      <c r="AI65" s="54"/>
      <c r="AJ65" s="54"/>
      <c r="AK65" s="54"/>
      <c r="AL65" s="55"/>
      <c r="AM65" s="70"/>
      <c r="AN65" s="71"/>
    </row>
    <row r="66" spans="2:42" s="12" customFormat="1" ht="113.25" customHeight="1" x14ac:dyDescent="2.1">
      <c r="B66" s="13" t="s">
        <v>83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1</v>
      </c>
      <c r="T66" s="14">
        <v>0</v>
      </c>
      <c r="U66" s="14">
        <v>0</v>
      </c>
      <c r="V66" s="14">
        <v>0</v>
      </c>
      <c r="W66" s="14">
        <v>0</v>
      </c>
      <c r="X66" s="14">
        <v>2</v>
      </c>
      <c r="Y66" s="14">
        <v>0</v>
      </c>
      <c r="Z66" s="113">
        <v>22000</v>
      </c>
      <c r="AA66" s="14">
        <f t="shared" si="20"/>
        <v>1</v>
      </c>
      <c r="AB66" s="14">
        <f t="shared" si="21"/>
        <v>2</v>
      </c>
      <c r="AC66" s="13" t="s">
        <v>83</v>
      </c>
      <c r="AD66" s="208"/>
      <c r="AE66" s="209"/>
      <c r="AF66" s="16">
        <f t="shared" si="22"/>
        <v>22000</v>
      </c>
      <c r="AG66" s="17"/>
      <c r="AH66" s="56"/>
      <c r="AI66" s="54"/>
      <c r="AJ66" s="54"/>
      <c r="AK66" s="54"/>
      <c r="AL66" s="55"/>
      <c r="AM66" s="70"/>
      <c r="AN66" s="71"/>
    </row>
    <row r="67" spans="2:42" s="12" customFormat="1" ht="113.25" customHeight="1" x14ac:dyDescent="2.1">
      <c r="B67" s="13" t="s">
        <v>84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2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13">
        <v>0</v>
      </c>
      <c r="AA67" s="14">
        <f t="shared" si="20"/>
        <v>0</v>
      </c>
      <c r="AB67" s="14">
        <f t="shared" si="21"/>
        <v>2</v>
      </c>
      <c r="AC67" s="13" t="s">
        <v>84</v>
      </c>
      <c r="AD67" s="178"/>
      <c r="AE67" s="179"/>
      <c r="AF67" s="16">
        <f t="shared" si="22"/>
        <v>0</v>
      </c>
      <c r="AG67" s="17"/>
      <c r="AH67" s="58"/>
      <c r="AI67" s="2"/>
      <c r="AJ67" s="2"/>
      <c r="AK67" s="2"/>
      <c r="AL67" s="57"/>
      <c r="AM67" s="70"/>
      <c r="AN67" s="71"/>
    </row>
    <row r="68" spans="2:42" s="12" customFormat="1" ht="113.25" customHeight="1" x14ac:dyDescent="2.1">
      <c r="B68" s="13" t="s">
        <v>85</v>
      </c>
      <c r="C68" s="14">
        <v>0</v>
      </c>
      <c r="D68" s="14">
        <v>1</v>
      </c>
      <c r="E68" s="14">
        <v>0</v>
      </c>
      <c r="F68" s="14">
        <v>1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2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2</v>
      </c>
      <c r="Y68" s="14">
        <v>0</v>
      </c>
      <c r="Z68" s="113">
        <v>0</v>
      </c>
      <c r="AA68" s="14">
        <f t="shared" si="20"/>
        <v>0</v>
      </c>
      <c r="AB68" s="14">
        <f t="shared" si="21"/>
        <v>6</v>
      </c>
      <c r="AC68" s="13" t="s">
        <v>85</v>
      </c>
      <c r="AD68" s="154"/>
      <c r="AE68" s="155"/>
      <c r="AF68" s="16">
        <f t="shared" si="22"/>
        <v>0</v>
      </c>
      <c r="AG68" s="17"/>
      <c r="AH68" s="2"/>
      <c r="AI68" s="2"/>
      <c r="AJ68" s="2"/>
      <c r="AK68" s="2"/>
      <c r="AL68" s="2"/>
      <c r="AM68" s="70"/>
      <c r="AN68" s="71"/>
    </row>
    <row r="69" spans="2:42" s="12" customFormat="1" ht="113.25" customHeight="1" x14ac:dyDescent="2.1">
      <c r="B69" s="13"/>
      <c r="C69" s="30">
        <f t="shared" ref="C69:Y69" si="23">SUM(C62:C68)</f>
        <v>0</v>
      </c>
      <c r="D69" s="30">
        <f t="shared" si="23"/>
        <v>3</v>
      </c>
      <c r="E69" s="30">
        <f t="shared" si="23"/>
        <v>0</v>
      </c>
      <c r="F69" s="30">
        <f t="shared" si="23"/>
        <v>5</v>
      </c>
      <c r="G69" s="30">
        <f t="shared" si="23"/>
        <v>0</v>
      </c>
      <c r="H69" s="30">
        <f t="shared" si="23"/>
        <v>0</v>
      </c>
      <c r="I69" s="30">
        <f t="shared" si="23"/>
        <v>1</v>
      </c>
      <c r="J69" s="30">
        <f t="shared" si="23"/>
        <v>1</v>
      </c>
      <c r="K69" s="30">
        <f t="shared" si="23"/>
        <v>0</v>
      </c>
      <c r="L69" s="30">
        <f t="shared" si="23"/>
        <v>1</v>
      </c>
      <c r="M69" s="30">
        <f t="shared" si="23"/>
        <v>0</v>
      </c>
      <c r="N69" s="30">
        <f t="shared" si="23"/>
        <v>0</v>
      </c>
      <c r="O69" s="30">
        <f t="shared" si="23"/>
        <v>0</v>
      </c>
      <c r="P69" s="30">
        <f t="shared" si="23"/>
        <v>1</v>
      </c>
      <c r="Q69" s="30">
        <f t="shared" si="23"/>
        <v>1</v>
      </c>
      <c r="R69" s="30">
        <f t="shared" si="23"/>
        <v>7</v>
      </c>
      <c r="S69" s="30">
        <f t="shared" si="23"/>
        <v>1</v>
      </c>
      <c r="T69" s="30">
        <f t="shared" si="23"/>
        <v>3</v>
      </c>
      <c r="U69" s="30">
        <f t="shared" si="23"/>
        <v>0</v>
      </c>
      <c r="V69" s="30">
        <f t="shared" si="23"/>
        <v>4</v>
      </c>
      <c r="W69" s="30">
        <f t="shared" si="23"/>
        <v>0</v>
      </c>
      <c r="X69" s="30">
        <f t="shared" si="23"/>
        <v>6</v>
      </c>
      <c r="Y69" s="30">
        <f t="shared" si="23"/>
        <v>0</v>
      </c>
      <c r="Z69" s="114"/>
      <c r="AA69" s="14"/>
      <c r="AB69" s="14"/>
      <c r="AC69" s="13"/>
      <c r="AD69" s="154"/>
      <c r="AE69" s="155"/>
      <c r="AF69" s="16">
        <v>0</v>
      </c>
      <c r="AG69" s="17"/>
      <c r="AH69" s="2"/>
      <c r="AI69" s="2"/>
      <c r="AJ69" s="2"/>
      <c r="AK69" s="2"/>
      <c r="AL69" s="2"/>
      <c r="AM69" s="70"/>
      <c r="AN69" s="71"/>
    </row>
    <row r="70" spans="2:42" s="4" customFormat="1" ht="132" customHeight="1" thickBot="1" x14ac:dyDescent="2.4">
      <c r="B70" s="48" t="s">
        <v>1</v>
      </c>
      <c r="C70" s="142" t="s">
        <v>2</v>
      </c>
      <c r="D70" s="143"/>
      <c r="E70" s="142" t="s">
        <v>3</v>
      </c>
      <c r="F70" s="143"/>
      <c r="G70" s="142" t="s">
        <v>4</v>
      </c>
      <c r="H70" s="143"/>
      <c r="I70" s="142" t="s">
        <v>5</v>
      </c>
      <c r="J70" s="143"/>
      <c r="K70" s="142" t="s">
        <v>6</v>
      </c>
      <c r="L70" s="143"/>
      <c r="M70" s="142" t="s">
        <v>7</v>
      </c>
      <c r="N70" s="143"/>
      <c r="O70" s="142" t="s">
        <v>8</v>
      </c>
      <c r="P70" s="143"/>
      <c r="Q70" s="142" t="s">
        <v>9</v>
      </c>
      <c r="R70" s="143"/>
      <c r="S70" s="142" t="s">
        <v>10</v>
      </c>
      <c r="T70" s="143"/>
      <c r="U70" s="142" t="s">
        <v>11</v>
      </c>
      <c r="V70" s="143"/>
      <c r="W70" s="142" t="s">
        <v>12</v>
      </c>
      <c r="X70" s="143"/>
      <c r="Y70" s="9" t="s">
        <v>13</v>
      </c>
      <c r="Z70" s="119"/>
      <c r="AA70" s="49" t="s">
        <v>14</v>
      </c>
      <c r="AB70" s="49" t="s">
        <v>15</v>
      </c>
      <c r="AC70" s="48" t="s">
        <v>1</v>
      </c>
      <c r="AD70" s="148"/>
      <c r="AE70" s="149"/>
      <c r="AF70" s="6" t="s">
        <v>17</v>
      </c>
      <c r="AG70" s="7"/>
      <c r="AH70" s="2"/>
      <c r="AI70" s="2"/>
      <c r="AJ70" s="2"/>
      <c r="AK70" s="2"/>
      <c r="AL70" s="2"/>
      <c r="AM70" s="8"/>
      <c r="AN70" s="8"/>
      <c r="AO70" s="12"/>
      <c r="AP70" s="12"/>
    </row>
    <row r="71" spans="2:42" s="12" customFormat="1" ht="113.25" customHeight="1" x14ac:dyDescent="2.1">
      <c r="B71" s="13" t="s">
        <v>86</v>
      </c>
      <c r="C71" s="14">
        <v>0</v>
      </c>
      <c r="D71" s="14">
        <v>4</v>
      </c>
      <c r="E71" s="14">
        <v>2</v>
      </c>
      <c r="F71" s="14">
        <v>4</v>
      </c>
      <c r="G71" s="14">
        <v>1</v>
      </c>
      <c r="H71" s="14">
        <v>2</v>
      </c>
      <c r="I71" s="14">
        <v>3</v>
      </c>
      <c r="J71" s="14">
        <v>2</v>
      </c>
      <c r="K71" s="14">
        <v>1</v>
      </c>
      <c r="L71" s="14">
        <v>7</v>
      </c>
      <c r="M71" s="14">
        <v>0</v>
      </c>
      <c r="N71" s="14">
        <v>0</v>
      </c>
      <c r="O71" s="14">
        <v>1</v>
      </c>
      <c r="P71" s="14">
        <v>7</v>
      </c>
      <c r="Q71" s="14">
        <v>0</v>
      </c>
      <c r="R71" s="14">
        <v>2</v>
      </c>
      <c r="S71" s="14">
        <v>2</v>
      </c>
      <c r="T71" s="14">
        <v>0</v>
      </c>
      <c r="U71" s="14">
        <v>0</v>
      </c>
      <c r="V71" s="14">
        <v>0</v>
      </c>
      <c r="W71" s="14">
        <v>2</v>
      </c>
      <c r="X71" s="14">
        <v>2</v>
      </c>
      <c r="Y71" s="14">
        <v>1</v>
      </c>
      <c r="Z71" s="113">
        <v>338000</v>
      </c>
      <c r="AA71" s="14">
        <f t="shared" ref="AA71:AA72" si="24">SUM(C71,E71,G71,I71,K71,M71,O71,Q71,S71,U71,W71,Y71)</f>
        <v>13</v>
      </c>
      <c r="AB71" s="14">
        <f t="shared" ref="AB71:AB72" si="25">SUM(D71,F71,H71,J71,L71,N71,P71,R71,T71,V71,X71)</f>
        <v>30</v>
      </c>
      <c r="AC71" s="13" t="s">
        <v>86</v>
      </c>
      <c r="AD71" s="176">
        <f>SUM(AA71:AA72)</f>
        <v>24</v>
      </c>
      <c r="AE71" s="177"/>
      <c r="AF71" s="16">
        <f>Z71</f>
        <v>338000</v>
      </c>
      <c r="AG71" s="17"/>
      <c r="AH71" s="216" t="s">
        <v>87</v>
      </c>
      <c r="AI71" s="217"/>
      <c r="AJ71" s="217"/>
      <c r="AK71" s="217"/>
      <c r="AL71" s="217"/>
      <c r="AM71" s="218">
        <f>SUM(AF71:AF81)</f>
        <v>775500</v>
      </c>
      <c r="AN71" s="219"/>
      <c r="AO71" s="29"/>
      <c r="AP71" s="29"/>
    </row>
    <row r="72" spans="2:42" s="29" customFormat="1" ht="113.25" customHeight="1" thickBot="1" x14ac:dyDescent="2.15">
      <c r="B72" s="38" t="s">
        <v>88</v>
      </c>
      <c r="C72" s="14">
        <v>3</v>
      </c>
      <c r="D72" s="14">
        <v>1</v>
      </c>
      <c r="E72" s="14">
        <v>2</v>
      </c>
      <c r="F72" s="14">
        <v>3</v>
      </c>
      <c r="G72" s="14">
        <v>2</v>
      </c>
      <c r="H72" s="14">
        <v>0</v>
      </c>
      <c r="I72" s="14">
        <v>3</v>
      </c>
      <c r="J72" s="14">
        <v>0</v>
      </c>
      <c r="K72" s="14">
        <v>0</v>
      </c>
      <c r="L72" s="14">
        <v>5</v>
      </c>
      <c r="M72" s="14">
        <v>0</v>
      </c>
      <c r="N72" s="14">
        <v>0</v>
      </c>
      <c r="O72" s="14">
        <v>0</v>
      </c>
      <c r="P72" s="14">
        <v>3</v>
      </c>
      <c r="Q72" s="14">
        <v>0</v>
      </c>
      <c r="R72" s="14">
        <v>4</v>
      </c>
      <c r="S72" s="14">
        <v>0</v>
      </c>
      <c r="T72" s="14">
        <v>2</v>
      </c>
      <c r="U72" s="14">
        <v>1</v>
      </c>
      <c r="V72" s="14">
        <v>1</v>
      </c>
      <c r="W72" s="14">
        <v>0</v>
      </c>
      <c r="X72" s="14">
        <v>4</v>
      </c>
      <c r="Y72" s="14">
        <v>0</v>
      </c>
      <c r="Z72" s="113">
        <v>293100</v>
      </c>
      <c r="AA72" s="14">
        <f t="shared" si="24"/>
        <v>11</v>
      </c>
      <c r="AB72" s="14">
        <f t="shared" si="25"/>
        <v>23</v>
      </c>
      <c r="AC72" s="38" t="s">
        <v>88</v>
      </c>
      <c r="AD72" s="178"/>
      <c r="AE72" s="179"/>
      <c r="AF72" s="16">
        <f t="shared" ref="AF72:AF86" si="26">Z72</f>
        <v>293100</v>
      </c>
      <c r="AG72" s="75"/>
      <c r="AH72" s="204">
        <f>+AF71+AF72</f>
        <v>631100</v>
      </c>
      <c r="AI72" s="205"/>
      <c r="AJ72" s="205"/>
      <c r="AK72" s="205"/>
      <c r="AL72" s="205"/>
      <c r="AM72" s="220"/>
      <c r="AN72" s="221"/>
      <c r="AO72" s="12"/>
      <c r="AP72" s="12"/>
    </row>
    <row r="73" spans="2:42" s="29" customFormat="1" ht="113.25" customHeight="1" thickBot="1" x14ac:dyDescent="2.15">
      <c r="B73" s="38"/>
      <c r="C73" s="30">
        <f>SUM(C71:C72)</f>
        <v>3</v>
      </c>
      <c r="D73" s="30">
        <f t="shared" ref="D73:Y73" si="27">SUM(D71:D72)</f>
        <v>5</v>
      </c>
      <c r="E73" s="30">
        <f t="shared" si="27"/>
        <v>4</v>
      </c>
      <c r="F73" s="30">
        <f t="shared" si="27"/>
        <v>7</v>
      </c>
      <c r="G73" s="30">
        <f t="shared" si="27"/>
        <v>3</v>
      </c>
      <c r="H73" s="30">
        <f t="shared" si="27"/>
        <v>2</v>
      </c>
      <c r="I73" s="30">
        <f t="shared" si="27"/>
        <v>6</v>
      </c>
      <c r="J73" s="30">
        <f t="shared" si="27"/>
        <v>2</v>
      </c>
      <c r="K73" s="30">
        <f t="shared" si="27"/>
        <v>1</v>
      </c>
      <c r="L73" s="30">
        <f t="shared" si="27"/>
        <v>12</v>
      </c>
      <c r="M73" s="30">
        <f t="shared" si="27"/>
        <v>0</v>
      </c>
      <c r="N73" s="30">
        <f t="shared" si="27"/>
        <v>0</v>
      </c>
      <c r="O73" s="30">
        <f t="shared" si="27"/>
        <v>1</v>
      </c>
      <c r="P73" s="30">
        <f t="shared" si="27"/>
        <v>10</v>
      </c>
      <c r="Q73" s="30">
        <f t="shared" si="27"/>
        <v>0</v>
      </c>
      <c r="R73" s="30">
        <f t="shared" si="27"/>
        <v>6</v>
      </c>
      <c r="S73" s="30">
        <f t="shared" si="27"/>
        <v>2</v>
      </c>
      <c r="T73" s="30">
        <f t="shared" si="27"/>
        <v>2</v>
      </c>
      <c r="U73" s="30">
        <f t="shared" si="27"/>
        <v>1</v>
      </c>
      <c r="V73" s="30">
        <f t="shared" si="27"/>
        <v>1</v>
      </c>
      <c r="W73" s="30">
        <f t="shared" si="27"/>
        <v>2</v>
      </c>
      <c r="X73" s="30">
        <f t="shared" si="27"/>
        <v>6</v>
      </c>
      <c r="Y73" s="30">
        <f t="shared" si="27"/>
        <v>1</v>
      </c>
      <c r="Z73" s="114">
        <v>0</v>
      </c>
      <c r="AA73" s="14"/>
      <c r="AB73" s="14"/>
      <c r="AC73" s="38"/>
      <c r="AD73" s="222"/>
      <c r="AE73" s="223"/>
      <c r="AF73" s="16">
        <f t="shared" si="26"/>
        <v>0</v>
      </c>
      <c r="AG73" s="75"/>
      <c r="AH73" s="44"/>
      <c r="AI73" s="76"/>
      <c r="AJ73" s="76"/>
      <c r="AK73" s="76"/>
      <c r="AL73" s="76"/>
      <c r="AM73" s="220"/>
      <c r="AN73" s="221"/>
      <c r="AO73" s="12"/>
      <c r="AP73" s="12"/>
    </row>
    <row r="74" spans="2:42" s="12" customFormat="1" ht="113.25" hidden="1" customHeight="1" x14ac:dyDescent="2.1">
      <c r="B74" s="13" t="s">
        <v>89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17">
        <v>0</v>
      </c>
      <c r="AA74" s="14">
        <f t="shared" ref="AA74:AA102" si="28">SUM(C74,E74,G74,I74,K74,M74,O74,Q74,S74,U74,W74,Y74)</f>
        <v>0</v>
      </c>
      <c r="AB74" s="14">
        <f t="shared" ref="AB74:AB102" si="29">SUM(D74,F74,H74,J74,L74,N74,P74,R74,T74,V74,X74)</f>
        <v>0</v>
      </c>
      <c r="AC74" s="13" t="s">
        <v>89</v>
      </c>
      <c r="AD74" s="176">
        <f>SUM(AA74:AA75)</f>
        <v>0</v>
      </c>
      <c r="AE74" s="177"/>
      <c r="AF74" s="16">
        <f t="shared" si="26"/>
        <v>0</v>
      </c>
      <c r="AG74" s="17"/>
      <c r="AH74" s="182" t="s">
        <v>90</v>
      </c>
      <c r="AI74" s="183"/>
      <c r="AJ74" s="183"/>
      <c r="AK74" s="183"/>
      <c r="AL74" s="183"/>
      <c r="AM74" s="220"/>
      <c r="AN74" s="221"/>
    </row>
    <row r="75" spans="2:42" s="12" customFormat="1" ht="113.25" hidden="1" customHeight="1" thickBot="1" x14ac:dyDescent="2.15">
      <c r="B75" s="13" t="s">
        <v>91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17">
        <v>0</v>
      </c>
      <c r="AA75" s="14">
        <f t="shared" si="28"/>
        <v>0</v>
      </c>
      <c r="AB75" s="14">
        <f t="shared" si="29"/>
        <v>0</v>
      </c>
      <c r="AC75" s="13" t="s">
        <v>91</v>
      </c>
      <c r="AD75" s="178"/>
      <c r="AE75" s="179"/>
      <c r="AF75" s="16">
        <f t="shared" si="26"/>
        <v>0</v>
      </c>
      <c r="AG75" s="17"/>
      <c r="AH75" s="204">
        <f>+AF74+AF75</f>
        <v>0</v>
      </c>
      <c r="AI75" s="205"/>
      <c r="AJ75" s="205"/>
      <c r="AK75" s="205"/>
      <c r="AL75" s="205"/>
      <c r="AM75" s="220"/>
      <c r="AN75" s="221"/>
    </row>
    <row r="76" spans="2:42" s="12" customFormat="1" ht="113.25" customHeight="1" x14ac:dyDescent="2.1">
      <c r="B76" s="13" t="s">
        <v>92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1</v>
      </c>
      <c r="Y76" s="14">
        <v>0</v>
      </c>
      <c r="Z76" s="113">
        <v>0</v>
      </c>
      <c r="AA76" s="14">
        <f t="shared" si="28"/>
        <v>0</v>
      </c>
      <c r="AB76" s="14">
        <f t="shared" si="29"/>
        <v>1</v>
      </c>
      <c r="AC76" s="13" t="s">
        <v>92</v>
      </c>
      <c r="AD76" s="176">
        <f>SUM(AA76:AA77)</f>
        <v>1</v>
      </c>
      <c r="AE76" s="177"/>
      <c r="AF76" s="16">
        <f t="shared" si="26"/>
        <v>0</v>
      </c>
      <c r="AG76" s="17"/>
      <c r="AH76" s="182" t="s">
        <v>93</v>
      </c>
      <c r="AI76" s="183"/>
      <c r="AJ76" s="183"/>
      <c r="AK76" s="183"/>
      <c r="AL76" s="183"/>
      <c r="AM76" s="220"/>
      <c r="AN76" s="221"/>
    </row>
    <row r="77" spans="2:42" s="12" customFormat="1" ht="113.25" customHeight="1" thickBot="1" x14ac:dyDescent="2.15">
      <c r="B77" s="13" t="s">
        <v>94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1</v>
      </c>
      <c r="V77" s="14">
        <v>0</v>
      </c>
      <c r="W77" s="14">
        <v>0</v>
      </c>
      <c r="X77" s="14">
        <v>0</v>
      </c>
      <c r="Y77" s="14">
        <v>0</v>
      </c>
      <c r="Z77" s="113">
        <v>144400</v>
      </c>
      <c r="AA77" s="14">
        <f t="shared" si="28"/>
        <v>1</v>
      </c>
      <c r="AB77" s="14">
        <f t="shared" si="29"/>
        <v>0</v>
      </c>
      <c r="AC77" s="13" t="s">
        <v>94</v>
      </c>
      <c r="AD77" s="178"/>
      <c r="AE77" s="179"/>
      <c r="AF77" s="16">
        <f t="shared" si="26"/>
        <v>144400</v>
      </c>
      <c r="AG77" s="17"/>
      <c r="AH77" s="204">
        <f>+AF76+AF77</f>
        <v>144400</v>
      </c>
      <c r="AI77" s="205"/>
      <c r="AJ77" s="205"/>
      <c r="AK77" s="205"/>
      <c r="AL77" s="205"/>
      <c r="AM77" s="220"/>
      <c r="AN77" s="221"/>
    </row>
    <row r="78" spans="2:42" s="12" customFormat="1" ht="113.25" hidden="1" customHeight="1" x14ac:dyDescent="2.1">
      <c r="B78" s="13" t="s">
        <v>95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17">
        <v>0</v>
      </c>
      <c r="AA78" s="14">
        <f t="shared" si="28"/>
        <v>0</v>
      </c>
      <c r="AB78" s="14">
        <f t="shared" si="29"/>
        <v>0</v>
      </c>
      <c r="AC78" s="13" t="s">
        <v>95</v>
      </c>
      <c r="AD78" s="176">
        <f>SUM(AA78:AA79)</f>
        <v>0</v>
      </c>
      <c r="AE78" s="177"/>
      <c r="AF78" s="16">
        <f t="shared" si="26"/>
        <v>0</v>
      </c>
      <c r="AG78" s="17"/>
      <c r="AH78" s="182" t="s">
        <v>96</v>
      </c>
      <c r="AI78" s="183"/>
      <c r="AJ78" s="183"/>
      <c r="AK78" s="183"/>
      <c r="AL78" s="183"/>
      <c r="AM78" s="220"/>
      <c r="AN78" s="221"/>
    </row>
    <row r="79" spans="2:42" s="12" customFormat="1" ht="113.25" hidden="1" customHeight="1" thickBot="1" x14ac:dyDescent="2.15">
      <c r="B79" s="13" t="s">
        <v>97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13">
        <v>0</v>
      </c>
      <c r="AA79" s="14">
        <f t="shared" si="28"/>
        <v>0</v>
      </c>
      <c r="AB79" s="14">
        <f t="shared" si="29"/>
        <v>0</v>
      </c>
      <c r="AC79" s="13" t="s">
        <v>97</v>
      </c>
      <c r="AD79" s="178"/>
      <c r="AE79" s="179"/>
      <c r="AF79" s="16">
        <f t="shared" si="26"/>
        <v>0</v>
      </c>
      <c r="AG79" s="17"/>
      <c r="AH79" s="204">
        <f>+AF78+AF79</f>
        <v>0</v>
      </c>
      <c r="AI79" s="205"/>
      <c r="AJ79" s="205"/>
      <c r="AK79" s="205"/>
      <c r="AL79" s="205"/>
      <c r="AM79" s="77"/>
      <c r="AN79" s="78"/>
    </row>
    <row r="80" spans="2:42" s="12" customFormat="1" ht="113.25" hidden="1" customHeight="1" x14ac:dyDescent="2.1">
      <c r="B80" s="13" t="s">
        <v>98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13">
        <v>0</v>
      </c>
      <c r="AA80" s="14">
        <f t="shared" si="28"/>
        <v>0</v>
      </c>
      <c r="AB80" s="14">
        <f t="shared" si="29"/>
        <v>0</v>
      </c>
      <c r="AC80" s="13" t="s">
        <v>98</v>
      </c>
      <c r="AD80" s="176">
        <f>SUM(AA80:AA81)</f>
        <v>0</v>
      </c>
      <c r="AE80" s="177"/>
      <c r="AF80" s="16">
        <f t="shared" si="26"/>
        <v>0</v>
      </c>
      <c r="AG80" s="17"/>
      <c r="AH80" s="182" t="s">
        <v>99</v>
      </c>
      <c r="AI80" s="183"/>
      <c r="AJ80" s="183"/>
      <c r="AK80" s="183"/>
      <c r="AL80" s="183"/>
      <c r="AM80" s="202" t="s">
        <v>100</v>
      </c>
      <c r="AN80" s="203"/>
    </row>
    <row r="81" spans="1:40" s="12" customFormat="1" ht="113.25" hidden="1" customHeight="1" thickBot="1" x14ac:dyDescent="2.15">
      <c r="B81" s="13" t="s">
        <v>101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13">
        <v>0</v>
      </c>
      <c r="AA81" s="14">
        <f t="shared" si="28"/>
        <v>0</v>
      </c>
      <c r="AB81" s="14">
        <f t="shared" si="29"/>
        <v>0</v>
      </c>
      <c r="AC81" s="13" t="s">
        <v>101</v>
      </c>
      <c r="AD81" s="178"/>
      <c r="AE81" s="179"/>
      <c r="AF81" s="16">
        <f t="shared" si="26"/>
        <v>0</v>
      </c>
      <c r="AG81" s="17"/>
      <c r="AH81" s="204">
        <f>+AF80+AF81</f>
        <v>0</v>
      </c>
      <c r="AI81" s="205"/>
      <c r="AJ81" s="205"/>
      <c r="AK81" s="205"/>
      <c r="AL81" s="205"/>
      <c r="AM81" s="202"/>
      <c r="AN81" s="203"/>
    </row>
    <row r="82" spans="1:40" s="12" customFormat="1" ht="105.75" hidden="1" customHeight="1" x14ac:dyDescent="2.1">
      <c r="B82" s="13" t="s">
        <v>102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13">
        <v>0</v>
      </c>
      <c r="AA82" s="14">
        <f t="shared" si="28"/>
        <v>0</v>
      </c>
      <c r="AB82" s="14">
        <f t="shared" si="29"/>
        <v>0</v>
      </c>
      <c r="AC82" s="13" t="s">
        <v>102</v>
      </c>
      <c r="AD82" s="154"/>
      <c r="AE82" s="155"/>
      <c r="AF82" s="16">
        <f t="shared" si="26"/>
        <v>0</v>
      </c>
      <c r="AG82" s="17"/>
      <c r="AH82" s="45"/>
      <c r="AI82" s="76"/>
      <c r="AJ82" s="76"/>
      <c r="AK82" s="76"/>
      <c r="AL82" s="76"/>
      <c r="AM82" s="202"/>
      <c r="AN82" s="203"/>
    </row>
    <row r="83" spans="1:40" s="12" customFormat="1" ht="105.75" customHeight="1" x14ac:dyDescent="2.1">
      <c r="B83" s="13" t="s">
        <v>103</v>
      </c>
      <c r="C83" s="14">
        <v>1</v>
      </c>
      <c r="D83" s="14">
        <v>3</v>
      </c>
      <c r="E83" s="14">
        <v>1</v>
      </c>
      <c r="F83" s="14">
        <v>1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0</v>
      </c>
      <c r="N83" s="14">
        <v>0</v>
      </c>
      <c r="O83" s="14">
        <v>0</v>
      </c>
      <c r="P83" s="14">
        <v>5</v>
      </c>
      <c r="Q83" s="14">
        <v>0</v>
      </c>
      <c r="R83" s="14">
        <v>0</v>
      </c>
      <c r="S83" s="14">
        <v>1</v>
      </c>
      <c r="T83" s="14">
        <v>1</v>
      </c>
      <c r="U83" s="14">
        <v>0</v>
      </c>
      <c r="V83" s="14">
        <v>2</v>
      </c>
      <c r="W83" s="14">
        <v>0</v>
      </c>
      <c r="X83" s="14">
        <v>1</v>
      </c>
      <c r="Y83" s="14">
        <v>0</v>
      </c>
      <c r="Z83" s="113">
        <v>70400</v>
      </c>
      <c r="AA83" s="14">
        <f t="shared" si="28"/>
        <v>3</v>
      </c>
      <c r="AB83" s="14">
        <f t="shared" si="29"/>
        <v>14</v>
      </c>
      <c r="AC83" s="13" t="s">
        <v>103</v>
      </c>
      <c r="AD83" s="154"/>
      <c r="AE83" s="155"/>
      <c r="AF83" s="16">
        <f t="shared" si="26"/>
        <v>70400</v>
      </c>
      <c r="AG83" s="17"/>
      <c r="AH83" s="45"/>
      <c r="AI83" s="76"/>
      <c r="AJ83" s="76"/>
      <c r="AK83" s="76"/>
      <c r="AL83" s="76"/>
      <c r="AM83" s="202"/>
      <c r="AN83" s="203"/>
    </row>
    <row r="84" spans="1:40" s="12" customFormat="1" ht="105.75" customHeight="1" x14ac:dyDescent="2.1">
      <c r="B84" s="13" t="s">
        <v>104</v>
      </c>
      <c r="C84" s="14">
        <v>0</v>
      </c>
      <c r="D84" s="14">
        <v>1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3</v>
      </c>
      <c r="K84" s="14">
        <v>1</v>
      </c>
      <c r="L84" s="14">
        <v>0</v>
      </c>
      <c r="M84" s="14">
        <v>0</v>
      </c>
      <c r="N84" s="14">
        <v>0</v>
      </c>
      <c r="O84" s="14">
        <v>1</v>
      </c>
      <c r="P84" s="14">
        <v>2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1</v>
      </c>
      <c r="W84" s="14">
        <v>1</v>
      </c>
      <c r="X84" s="14">
        <v>0</v>
      </c>
      <c r="Y84" s="14">
        <v>0</v>
      </c>
      <c r="Z84" s="113">
        <v>68100</v>
      </c>
      <c r="AA84" s="14">
        <f t="shared" si="28"/>
        <v>3</v>
      </c>
      <c r="AB84" s="14">
        <f t="shared" si="29"/>
        <v>7</v>
      </c>
      <c r="AC84" s="13" t="s">
        <v>104</v>
      </c>
      <c r="AD84" s="154"/>
      <c r="AE84" s="155"/>
      <c r="AF84" s="16">
        <f t="shared" si="26"/>
        <v>68100</v>
      </c>
      <c r="AG84" s="17"/>
      <c r="AH84" s="45"/>
      <c r="AI84" s="76"/>
      <c r="AJ84" s="76"/>
      <c r="AK84" s="76"/>
      <c r="AL84" s="76"/>
      <c r="AM84" s="202"/>
      <c r="AN84" s="203"/>
    </row>
    <row r="85" spans="1:40" s="12" customFormat="1" ht="105.75" customHeight="1" x14ac:dyDescent="2.1">
      <c r="B85" s="13" t="s">
        <v>105</v>
      </c>
      <c r="C85" s="14">
        <v>1</v>
      </c>
      <c r="D85" s="14">
        <v>2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4</v>
      </c>
      <c r="X85" s="14">
        <v>0</v>
      </c>
      <c r="Y85" s="14">
        <v>0</v>
      </c>
      <c r="Z85" s="113">
        <v>80000</v>
      </c>
      <c r="AA85" s="14">
        <f t="shared" si="28"/>
        <v>5</v>
      </c>
      <c r="AB85" s="14">
        <f t="shared" si="29"/>
        <v>2</v>
      </c>
      <c r="AC85" s="13" t="s">
        <v>105</v>
      </c>
      <c r="AD85" s="154"/>
      <c r="AE85" s="155"/>
      <c r="AF85" s="16">
        <f t="shared" si="26"/>
        <v>80000</v>
      </c>
      <c r="AG85" s="17"/>
      <c r="AH85" s="45"/>
      <c r="AI85" s="76"/>
      <c r="AJ85" s="76"/>
      <c r="AK85" s="76"/>
      <c r="AL85" s="76"/>
      <c r="AM85" s="202"/>
      <c r="AN85" s="203"/>
    </row>
    <row r="86" spans="1:40" s="12" customFormat="1" ht="105.75" customHeight="1" x14ac:dyDescent="2.1">
      <c r="B86" s="13" t="s">
        <v>106</v>
      </c>
      <c r="C86" s="14">
        <v>1</v>
      </c>
      <c r="D86" s="14">
        <v>0</v>
      </c>
      <c r="E86" s="14">
        <v>1</v>
      </c>
      <c r="F86" s="14">
        <v>1</v>
      </c>
      <c r="G86" s="14">
        <v>0</v>
      </c>
      <c r="H86" s="14">
        <v>0</v>
      </c>
      <c r="I86" s="14">
        <v>1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1</v>
      </c>
      <c r="U86" s="14">
        <v>0</v>
      </c>
      <c r="V86" s="14">
        <v>3</v>
      </c>
      <c r="W86" s="14">
        <v>0</v>
      </c>
      <c r="X86" s="14">
        <v>2</v>
      </c>
      <c r="Y86" s="14">
        <v>0</v>
      </c>
      <c r="Z86" s="113">
        <v>66300</v>
      </c>
      <c r="AA86" s="14">
        <f t="shared" si="28"/>
        <v>3</v>
      </c>
      <c r="AB86" s="14">
        <f t="shared" si="29"/>
        <v>7</v>
      </c>
      <c r="AC86" s="13" t="s">
        <v>106</v>
      </c>
      <c r="AD86" s="206">
        <f>SUM(AA86:AA86)</f>
        <v>3</v>
      </c>
      <c r="AE86" s="207"/>
      <c r="AF86" s="16">
        <f t="shared" si="26"/>
        <v>66300</v>
      </c>
      <c r="AG86" s="17"/>
      <c r="AH86" s="2"/>
      <c r="AI86" s="2"/>
      <c r="AJ86" s="2"/>
      <c r="AK86" s="2"/>
      <c r="AL86" s="2"/>
      <c r="AM86" s="202"/>
      <c r="AN86" s="203"/>
    </row>
    <row r="87" spans="1:40" ht="123.75" customHeight="1" x14ac:dyDescent="2.1">
      <c r="B87" s="79" t="s">
        <v>107</v>
      </c>
      <c r="C87" s="142" t="s">
        <v>2</v>
      </c>
      <c r="D87" s="143"/>
      <c r="E87" s="142" t="s">
        <v>3</v>
      </c>
      <c r="F87" s="143"/>
      <c r="G87" s="142" t="s">
        <v>4</v>
      </c>
      <c r="H87" s="143"/>
      <c r="I87" s="142" t="s">
        <v>5</v>
      </c>
      <c r="J87" s="143"/>
      <c r="K87" s="142" t="s">
        <v>6</v>
      </c>
      <c r="L87" s="143"/>
      <c r="M87" s="142" t="s">
        <v>7</v>
      </c>
      <c r="N87" s="143"/>
      <c r="O87" s="142" t="s">
        <v>8</v>
      </c>
      <c r="P87" s="143"/>
      <c r="Q87" s="142" t="s">
        <v>9</v>
      </c>
      <c r="R87" s="143"/>
      <c r="S87" s="142" t="s">
        <v>10</v>
      </c>
      <c r="T87" s="143"/>
      <c r="U87" s="142" t="s">
        <v>11</v>
      </c>
      <c r="V87" s="143"/>
      <c r="W87" s="142" t="s">
        <v>12</v>
      </c>
      <c r="X87" s="143"/>
      <c r="Y87" s="9" t="s">
        <v>13</v>
      </c>
      <c r="Z87" s="119"/>
      <c r="AA87" s="49" t="s">
        <v>14</v>
      </c>
      <c r="AB87" s="49" t="s">
        <v>15</v>
      </c>
      <c r="AC87" s="79" t="s">
        <v>107</v>
      </c>
      <c r="AD87" s="148"/>
      <c r="AE87" s="149"/>
      <c r="AF87" s="6" t="s">
        <v>17</v>
      </c>
      <c r="AG87" s="7"/>
      <c r="AM87" s="194">
        <f>SUM(AF88:AF137)</f>
        <v>945500</v>
      </c>
      <c r="AN87" s="195"/>
    </row>
    <row r="88" spans="1:40" ht="123.75" customHeight="1" x14ac:dyDescent="2.1">
      <c r="B88" s="15" t="s">
        <v>108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13">
        <v>0</v>
      </c>
      <c r="AA88" s="14">
        <f t="shared" si="28"/>
        <v>0</v>
      </c>
      <c r="AB88" s="14">
        <f t="shared" si="29"/>
        <v>0</v>
      </c>
      <c r="AC88" s="15" t="s">
        <v>108</v>
      </c>
      <c r="AD88" s="152"/>
      <c r="AE88" s="153"/>
      <c r="AF88" s="16">
        <f>Z88</f>
        <v>0</v>
      </c>
      <c r="AG88" s="7"/>
      <c r="AM88" s="196"/>
      <c r="AN88" s="195"/>
    </row>
    <row r="89" spans="1:40" s="64" customFormat="1" ht="38.25" customHeight="1" x14ac:dyDescent="2.1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120">
        <v>0</v>
      </c>
      <c r="AA89" s="80"/>
      <c r="AB89" s="80"/>
      <c r="AC89" s="65"/>
      <c r="AD89" s="81"/>
      <c r="AE89" s="82"/>
      <c r="AF89" s="16">
        <f t="shared" ref="AF89:AF102" si="30">Z89</f>
        <v>0</v>
      </c>
      <c r="AG89" s="17"/>
      <c r="AH89" s="2"/>
      <c r="AI89" s="2"/>
      <c r="AJ89" s="2"/>
      <c r="AK89" s="2"/>
      <c r="AL89" s="2"/>
      <c r="AM89" s="196"/>
      <c r="AN89" s="195"/>
    </row>
    <row r="90" spans="1:40" s="12" customFormat="1" ht="113.25" customHeight="1" x14ac:dyDescent="2.1">
      <c r="B90" s="13" t="s">
        <v>109</v>
      </c>
      <c r="C90" s="14">
        <v>0</v>
      </c>
      <c r="D90" s="14">
        <v>0</v>
      </c>
      <c r="E90" s="14">
        <v>3</v>
      </c>
      <c r="F90" s="14">
        <v>3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13">
        <v>48300</v>
      </c>
      <c r="AA90" s="14">
        <f t="shared" si="28"/>
        <v>3</v>
      </c>
      <c r="AB90" s="14">
        <f t="shared" si="29"/>
        <v>3</v>
      </c>
      <c r="AC90" s="13" t="s">
        <v>109</v>
      </c>
      <c r="AD90" s="154"/>
      <c r="AE90" s="155"/>
      <c r="AF90" s="16">
        <f t="shared" si="30"/>
        <v>48300</v>
      </c>
      <c r="AG90" s="17"/>
      <c r="AH90" s="2"/>
      <c r="AI90" s="2"/>
      <c r="AJ90" s="2"/>
      <c r="AK90" s="2"/>
      <c r="AL90" s="2"/>
      <c r="AM90" s="196"/>
      <c r="AN90" s="195"/>
    </row>
    <row r="91" spans="1:40" s="12" customFormat="1" ht="113.25" customHeight="1" x14ac:dyDescent="2.1">
      <c r="B91" s="13" t="s">
        <v>110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13">
        <v>0</v>
      </c>
      <c r="AA91" s="14">
        <f t="shared" si="28"/>
        <v>0</v>
      </c>
      <c r="AB91" s="14">
        <f t="shared" si="29"/>
        <v>0</v>
      </c>
      <c r="AC91" s="13" t="s">
        <v>110</v>
      </c>
      <c r="AD91" s="154"/>
      <c r="AE91" s="155"/>
      <c r="AF91" s="16">
        <f t="shared" si="30"/>
        <v>0</v>
      </c>
      <c r="AG91" s="17"/>
      <c r="AH91" s="2"/>
      <c r="AI91" s="2"/>
      <c r="AJ91" s="2"/>
      <c r="AK91" s="2"/>
      <c r="AL91" s="2"/>
      <c r="AM91" s="196"/>
      <c r="AN91" s="195"/>
    </row>
    <row r="92" spans="1:40" s="12" customFormat="1" ht="113.25" customHeight="1" thickBot="1" x14ac:dyDescent="2.15">
      <c r="B92" s="13" t="s">
        <v>111</v>
      </c>
      <c r="C92" s="14">
        <v>0</v>
      </c>
      <c r="D92" s="14">
        <v>0</v>
      </c>
      <c r="E92" s="14">
        <v>1</v>
      </c>
      <c r="F92" s="14">
        <v>3</v>
      </c>
      <c r="G92" s="14">
        <v>1</v>
      </c>
      <c r="H92" s="14">
        <v>3</v>
      </c>
      <c r="I92" s="14">
        <v>1</v>
      </c>
      <c r="J92" s="14">
        <v>3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1</v>
      </c>
      <c r="V92" s="14">
        <v>3</v>
      </c>
      <c r="W92" s="14">
        <v>0</v>
      </c>
      <c r="X92" s="14">
        <v>4</v>
      </c>
      <c r="Y92" s="14">
        <v>0</v>
      </c>
      <c r="Z92" s="113">
        <v>79200</v>
      </c>
      <c r="AA92" s="14">
        <f t="shared" si="28"/>
        <v>4</v>
      </c>
      <c r="AB92" s="14">
        <f t="shared" si="29"/>
        <v>16</v>
      </c>
      <c r="AC92" s="13" t="s">
        <v>111</v>
      </c>
      <c r="AD92" s="154"/>
      <c r="AE92" s="155"/>
      <c r="AF92" s="16">
        <f t="shared" si="30"/>
        <v>79200</v>
      </c>
      <c r="AG92" s="17"/>
      <c r="AH92" s="2"/>
      <c r="AI92" s="2"/>
      <c r="AJ92" s="2"/>
      <c r="AK92" s="2"/>
      <c r="AL92" s="2"/>
      <c r="AM92" s="196"/>
      <c r="AN92" s="195"/>
    </row>
    <row r="93" spans="1:40" s="12" customFormat="1" ht="146.25" x14ac:dyDescent="2.1">
      <c r="B93" s="13" t="s">
        <v>112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13">
        <v>0</v>
      </c>
      <c r="AA93" s="14">
        <f t="shared" si="28"/>
        <v>0</v>
      </c>
      <c r="AB93" s="14">
        <f t="shared" si="29"/>
        <v>0</v>
      </c>
      <c r="AC93" s="13" t="s">
        <v>112</v>
      </c>
      <c r="AD93" s="159">
        <f>SUM(AA93:AA102)</f>
        <v>13</v>
      </c>
      <c r="AE93" s="160"/>
      <c r="AF93" s="16">
        <f t="shared" si="30"/>
        <v>0</v>
      </c>
      <c r="AG93" s="17"/>
      <c r="AH93" s="165" t="s">
        <v>113</v>
      </c>
      <c r="AI93" s="166"/>
      <c r="AJ93" s="166"/>
      <c r="AK93" s="166"/>
      <c r="AL93" s="167"/>
      <c r="AM93" s="196"/>
      <c r="AN93" s="195"/>
    </row>
    <row r="94" spans="1:40" s="47" customFormat="1" ht="116.25" customHeight="1" x14ac:dyDescent="2.1">
      <c r="A94" s="12"/>
      <c r="B94" s="13" t="s">
        <v>114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1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1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1</v>
      </c>
      <c r="Y94" s="14">
        <v>0</v>
      </c>
      <c r="Z94" s="113">
        <v>0</v>
      </c>
      <c r="AA94" s="14">
        <f t="shared" si="28"/>
        <v>0</v>
      </c>
      <c r="AB94" s="14">
        <f>SUM(D94,F94,H94,J94,L94,N94,P94,R94,T94,V94,X94)</f>
        <v>3</v>
      </c>
      <c r="AC94" s="13" t="s">
        <v>114</v>
      </c>
      <c r="AD94" s="161"/>
      <c r="AE94" s="162"/>
      <c r="AF94" s="16">
        <f t="shared" si="30"/>
        <v>0</v>
      </c>
      <c r="AG94" s="17"/>
      <c r="AH94" s="168"/>
      <c r="AI94" s="169"/>
      <c r="AJ94" s="169"/>
      <c r="AK94" s="169"/>
      <c r="AL94" s="170"/>
      <c r="AM94" s="196"/>
      <c r="AN94" s="195"/>
    </row>
    <row r="95" spans="1:40" s="47" customFormat="1" ht="113.25" customHeight="1" x14ac:dyDescent="2.1">
      <c r="A95" s="12"/>
      <c r="B95" s="13" t="s">
        <v>115</v>
      </c>
      <c r="C95" s="14">
        <v>1</v>
      </c>
      <c r="D95" s="14">
        <v>0</v>
      </c>
      <c r="E95" s="14">
        <v>1</v>
      </c>
      <c r="F95" s="14">
        <v>0</v>
      </c>
      <c r="G95" s="14">
        <v>0</v>
      </c>
      <c r="H95" s="14">
        <v>1</v>
      </c>
      <c r="I95" s="14">
        <v>0</v>
      </c>
      <c r="J95" s="14">
        <v>1</v>
      </c>
      <c r="K95" s="14">
        <v>0</v>
      </c>
      <c r="L95" s="14">
        <v>1</v>
      </c>
      <c r="M95" s="14">
        <v>0</v>
      </c>
      <c r="N95" s="14">
        <v>0</v>
      </c>
      <c r="O95" s="14">
        <v>0</v>
      </c>
      <c r="P95" s="14">
        <v>1</v>
      </c>
      <c r="Q95" s="14">
        <v>1</v>
      </c>
      <c r="R95" s="14">
        <v>0</v>
      </c>
      <c r="S95" s="14">
        <v>0</v>
      </c>
      <c r="T95" s="14">
        <v>1</v>
      </c>
      <c r="U95" s="14">
        <v>0</v>
      </c>
      <c r="V95" s="14">
        <v>1</v>
      </c>
      <c r="W95" s="14">
        <v>1</v>
      </c>
      <c r="X95" s="14">
        <v>0</v>
      </c>
      <c r="Y95" s="14">
        <v>0</v>
      </c>
      <c r="Z95" s="113">
        <v>127100</v>
      </c>
      <c r="AA95" s="14">
        <f t="shared" si="28"/>
        <v>4</v>
      </c>
      <c r="AB95" s="14">
        <f t="shared" si="29"/>
        <v>6</v>
      </c>
      <c r="AC95" s="13" t="s">
        <v>115</v>
      </c>
      <c r="AD95" s="161"/>
      <c r="AE95" s="162"/>
      <c r="AF95" s="16">
        <f t="shared" si="30"/>
        <v>127100</v>
      </c>
      <c r="AG95" s="17"/>
      <c r="AH95" s="168"/>
      <c r="AI95" s="169"/>
      <c r="AJ95" s="169"/>
      <c r="AK95" s="169"/>
      <c r="AL95" s="170"/>
      <c r="AM95" s="196"/>
      <c r="AN95" s="195"/>
    </row>
    <row r="96" spans="1:40" s="47" customFormat="1" ht="113.25" customHeight="1" x14ac:dyDescent="2.1">
      <c r="A96" s="12"/>
      <c r="B96" s="13" t="s">
        <v>116</v>
      </c>
      <c r="C96" s="14">
        <v>0</v>
      </c>
      <c r="D96" s="14">
        <v>1</v>
      </c>
      <c r="E96" s="14">
        <v>0</v>
      </c>
      <c r="F96" s="14">
        <v>0</v>
      </c>
      <c r="G96" s="14">
        <v>0</v>
      </c>
      <c r="H96" s="14">
        <v>0</v>
      </c>
      <c r="I96" s="14">
        <v>1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1</v>
      </c>
      <c r="W96" s="14">
        <v>0</v>
      </c>
      <c r="X96" s="14">
        <v>1</v>
      </c>
      <c r="Y96" s="14">
        <v>0</v>
      </c>
      <c r="Z96" s="113">
        <v>29500</v>
      </c>
      <c r="AA96" s="14">
        <f t="shared" si="28"/>
        <v>1</v>
      </c>
      <c r="AB96" s="14">
        <f t="shared" si="29"/>
        <v>3</v>
      </c>
      <c r="AC96" s="13" t="s">
        <v>116</v>
      </c>
      <c r="AD96" s="161"/>
      <c r="AE96" s="162"/>
      <c r="AF96" s="16">
        <f t="shared" si="30"/>
        <v>29500</v>
      </c>
      <c r="AG96" s="17"/>
      <c r="AH96" s="168"/>
      <c r="AI96" s="169"/>
      <c r="AJ96" s="169"/>
      <c r="AK96" s="169"/>
      <c r="AL96" s="170"/>
      <c r="AM96" s="196"/>
      <c r="AN96" s="195"/>
    </row>
    <row r="97" spans="1:40" s="47" customFormat="1" ht="113.25" customHeight="1" x14ac:dyDescent="2.1">
      <c r="A97" s="12"/>
      <c r="B97" s="13" t="s">
        <v>117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13">
        <v>0</v>
      </c>
      <c r="AA97" s="14">
        <f t="shared" si="28"/>
        <v>0</v>
      </c>
      <c r="AB97" s="14">
        <f t="shared" si="29"/>
        <v>0</v>
      </c>
      <c r="AC97" s="13" t="s">
        <v>117</v>
      </c>
      <c r="AD97" s="161"/>
      <c r="AE97" s="162"/>
      <c r="AF97" s="16">
        <f t="shared" si="30"/>
        <v>0</v>
      </c>
      <c r="AG97" s="17"/>
      <c r="AH97" s="168"/>
      <c r="AI97" s="169"/>
      <c r="AJ97" s="169"/>
      <c r="AK97" s="169"/>
      <c r="AL97" s="170"/>
      <c r="AM97" s="196"/>
      <c r="AN97" s="195"/>
    </row>
    <row r="98" spans="1:40" s="47" customFormat="1" ht="113.25" customHeight="1" x14ac:dyDescent="2.1">
      <c r="A98" s="12"/>
      <c r="B98" s="13" t="s">
        <v>118</v>
      </c>
      <c r="C98" s="14">
        <v>0</v>
      </c>
      <c r="D98" s="14">
        <v>2</v>
      </c>
      <c r="E98" s="14">
        <v>1</v>
      </c>
      <c r="F98" s="14">
        <v>0</v>
      </c>
      <c r="G98" s="14">
        <v>0</v>
      </c>
      <c r="H98" s="14">
        <v>1</v>
      </c>
      <c r="I98" s="14">
        <v>0</v>
      </c>
      <c r="J98" s="14">
        <v>0</v>
      </c>
      <c r="K98" s="14">
        <v>0</v>
      </c>
      <c r="L98" s="14">
        <v>2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1</v>
      </c>
      <c r="U98" s="14">
        <v>0</v>
      </c>
      <c r="V98" s="14">
        <v>1</v>
      </c>
      <c r="W98" s="14">
        <v>0</v>
      </c>
      <c r="X98" s="14">
        <v>1</v>
      </c>
      <c r="Y98" s="14">
        <v>0</v>
      </c>
      <c r="Z98" s="113">
        <v>31000</v>
      </c>
      <c r="AA98" s="14">
        <f t="shared" si="28"/>
        <v>1</v>
      </c>
      <c r="AB98" s="14">
        <f t="shared" si="29"/>
        <v>8</v>
      </c>
      <c r="AC98" s="13" t="s">
        <v>118</v>
      </c>
      <c r="AD98" s="161"/>
      <c r="AE98" s="162"/>
      <c r="AF98" s="16">
        <f t="shared" si="30"/>
        <v>31000</v>
      </c>
      <c r="AG98" s="17"/>
      <c r="AH98" s="197">
        <f>SUM(AF93:AF102)</f>
        <v>404500</v>
      </c>
      <c r="AI98" s="198"/>
      <c r="AJ98" s="198"/>
      <c r="AK98" s="198"/>
      <c r="AL98" s="199"/>
      <c r="AM98" s="196"/>
      <c r="AN98" s="195"/>
    </row>
    <row r="99" spans="1:40" s="47" customFormat="1" ht="113.25" customHeight="1" x14ac:dyDescent="2.1">
      <c r="A99" s="12"/>
      <c r="B99" s="13" t="s">
        <v>119</v>
      </c>
      <c r="C99" s="14">
        <v>0</v>
      </c>
      <c r="D99" s="14">
        <v>2</v>
      </c>
      <c r="E99" s="14">
        <v>1</v>
      </c>
      <c r="F99" s="14">
        <v>1</v>
      </c>
      <c r="G99" s="14">
        <v>0</v>
      </c>
      <c r="H99" s="14">
        <v>5</v>
      </c>
      <c r="I99" s="14">
        <v>2</v>
      </c>
      <c r="J99" s="14">
        <v>1</v>
      </c>
      <c r="K99" s="14">
        <v>1</v>
      </c>
      <c r="L99" s="14">
        <v>1</v>
      </c>
      <c r="M99" s="14">
        <v>0</v>
      </c>
      <c r="N99" s="14">
        <v>1</v>
      </c>
      <c r="O99" s="14">
        <v>0</v>
      </c>
      <c r="P99" s="14">
        <v>2</v>
      </c>
      <c r="Q99" s="14">
        <v>2</v>
      </c>
      <c r="R99" s="14">
        <v>2</v>
      </c>
      <c r="S99" s="14">
        <v>0</v>
      </c>
      <c r="T99" s="14">
        <v>2</v>
      </c>
      <c r="U99" s="14">
        <v>0</v>
      </c>
      <c r="V99" s="14">
        <v>3</v>
      </c>
      <c r="W99" s="14">
        <v>0</v>
      </c>
      <c r="X99" s="14">
        <v>3</v>
      </c>
      <c r="Y99" s="14">
        <v>1</v>
      </c>
      <c r="Z99" s="113">
        <v>216900</v>
      </c>
      <c r="AA99" s="14">
        <f t="shared" si="28"/>
        <v>7</v>
      </c>
      <c r="AB99" s="14">
        <f>SUM(D99,F99,H99,J99,L99,N99,P99,R99,T99,V99,X99)</f>
        <v>23</v>
      </c>
      <c r="AC99" s="13" t="s">
        <v>119</v>
      </c>
      <c r="AD99" s="161"/>
      <c r="AE99" s="162"/>
      <c r="AF99" s="16">
        <f t="shared" si="30"/>
        <v>216900</v>
      </c>
      <c r="AG99" s="17"/>
      <c r="AH99" s="39"/>
      <c r="AI99" s="24"/>
      <c r="AJ99" s="24"/>
      <c r="AK99" s="24"/>
      <c r="AL99" s="25"/>
      <c r="AM99" s="196"/>
      <c r="AN99" s="195"/>
    </row>
    <row r="100" spans="1:40" s="47" customFormat="1" ht="113.25" customHeight="1" x14ac:dyDescent="2.1">
      <c r="A100" s="12"/>
      <c r="B100" s="13" t="s">
        <v>120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13">
        <v>0</v>
      </c>
      <c r="AA100" s="14">
        <f t="shared" si="28"/>
        <v>0</v>
      </c>
      <c r="AB100" s="14">
        <f t="shared" si="29"/>
        <v>0</v>
      </c>
      <c r="AC100" s="13" t="s">
        <v>120</v>
      </c>
      <c r="AD100" s="161"/>
      <c r="AE100" s="162"/>
      <c r="AF100" s="16">
        <f t="shared" si="30"/>
        <v>0</v>
      </c>
      <c r="AG100" s="17"/>
      <c r="AH100" s="171"/>
      <c r="AI100" s="169"/>
      <c r="AJ100" s="169"/>
      <c r="AK100" s="169"/>
      <c r="AL100" s="170"/>
      <c r="AM100" s="196"/>
      <c r="AN100" s="195"/>
    </row>
    <row r="101" spans="1:40" s="47" customFormat="1" ht="113.25" customHeight="1" x14ac:dyDescent="2.1">
      <c r="A101" s="12"/>
      <c r="B101" s="13" t="s">
        <v>121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13">
        <v>0</v>
      </c>
      <c r="AA101" s="14">
        <f t="shared" si="28"/>
        <v>0</v>
      </c>
      <c r="AB101" s="14">
        <f t="shared" si="29"/>
        <v>0</v>
      </c>
      <c r="AC101" s="13" t="s">
        <v>121</v>
      </c>
      <c r="AD101" s="161"/>
      <c r="AE101" s="162"/>
      <c r="AF101" s="16">
        <f t="shared" si="30"/>
        <v>0</v>
      </c>
      <c r="AG101" s="17"/>
      <c r="AH101" s="26"/>
      <c r="AI101" s="27"/>
      <c r="AJ101" s="27"/>
      <c r="AK101" s="27"/>
      <c r="AL101" s="28"/>
      <c r="AM101" s="196"/>
      <c r="AN101" s="195"/>
    </row>
    <row r="102" spans="1:40" s="47" customFormat="1" ht="113.25" customHeight="1" thickBot="1" x14ac:dyDescent="2.15">
      <c r="A102" s="12"/>
      <c r="B102" s="13" t="s">
        <v>122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13">
        <v>0</v>
      </c>
      <c r="AA102" s="14">
        <f t="shared" si="28"/>
        <v>0</v>
      </c>
      <c r="AB102" s="14">
        <f t="shared" si="29"/>
        <v>0</v>
      </c>
      <c r="AC102" s="13" t="s">
        <v>122</v>
      </c>
      <c r="AD102" s="163"/>
      <c r="AE102" s="164"/>
      <c r="AF102" s="16">
        <f t="shared" si="30"/>
        <v>0</v>
      </c>
      <c r="AG102" s="17"/>
      <c r="AH102" s="83"/>
      <c r="AI102" s="84"/>
      <c r="AJ102" s="84"/>
      <c r="AK102" s="84"/>
      <c r="AL102" s="85"/>
      <c r="AM102" s="196"/>
      <c r="AN102" s="195"/>
    </row>
    <row r="103" spans="1:40" s="47" customFormat="1" ht="111" customHeight="1" x14ac:dyDescent="2.1">
      <c r="A103" s="12"/>
      <c r="B103" s="13"/>
      <c r="C103" s="30">
        <f>SUM(C93:C102)</f>
        <v>1</v>
      </c>
      <c r="D103" s="30">
        <f t="shared" ref="D103:Y103" si="31">SUM(D93:D102)</f>
        <v>5</v>
      </c>
      <c r="E103" s="30">
        <f t="shared" si="31"/>
        <v>3</v>
      </c>
      <c r="F103" s="30">
        <f t="shared" si="31"/>
        <v>1</v>
      </c>
      <c r="G103" s="30">
        <f t="shared" si="31"/>
        <v>0</v>
      </c>
      <c r="H103" s="30">
        <f t="shared" si="31"/>
        <v>8</v>
      </c>
      <c r="I103" s="30">
        <f t="shared" si="31"/>
        <v>3</v>
      </c>
      <c r="J103" s="30">
        <f t="shared" si="31"/>
        <v>2</v>
      </c>
      <c r="K103" s="30">
        <f t="shared" si="31"/>
        <v>1</v>
      </c>
      <c r="L103" s="30">
        <f t="shared" si="31"/>
        <v>4</v>
      </c>
      <c r="M103" s="30">
        <f t="shared" si="31"/>
        <v>0</v>
      </c>
      <c r="N103" s="30">
        <f t="shared" si="31"/>
        <v>1</v>
      </c>
      <c r="O103" s="30">
        <f t="shared" si="31"/>
        <v>0</v>
      </c>
      <c r="P103" s="30">
        <f t="shared" si="31"/>
        <v>3</v>
      </c>
      <c r="Q103" s="30">
        <f t="shared" si="31"/>
        <v>3</v>
      </c>
      <c r="R103" s="30">
        <f t="shared" si="31"/>
        <v>3</v>
      </c>
      <c r="S103" s="30">
        <f t="shared" si="31"/>
        <v>0</v>
      </c>
      <c r="T103" s="30">
        <f t="shared" si="31"/>
        <v>4</v>
      </c>
      <c r="U103" s="30">
        <f t="shared" si="31"/>
        <v>0</v>
      </c>
      <c r="V103" s="30">
        <f t="shared" si="31"/>
        <v>6</v>
      </c>
      <c r="W103" s="30">
        <f t="shared" si="31"/>
        <v>1</v>
      </c>
      <c r="X103" s="30">
        <f t="shared" si="31"/>
        <v>6</v>
      </c>
      <c r="Y103" s="30">
        <f t="shared" si="31"/>
        <v>1</v>
      </c>
      <c r="Z103" s="114"/>
      <c r="AA103" s="14"/>
      <c r="AB103" s="14"/>
      <c r="AC103" s="13"/>
      <c r="AD103" s="200"/>
      <c r="AE103" s="201"/>
      <c r="AF103" s="33"/>
      <c r="AG103" s="17"/>
      <c r="AH103" s="188"/>
      <c r="AI103" s="189"/>
      <c r="AJ103" s="189"/>
      <c r="AK103" s="189"/>
      <c r="AL103" s="190"/>
      <c r="AM103" s="196"/>
      <c r="AN103" s="195"/>
    </row>
    <row r="104" spans="1:40" ht="126" customHeight="1" x14ac:dyDescent="0.25">
      <c r="B104" s="174" t="s">
        <v>211</v>
      </c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"/>
      <c r="AH104" s="191"/>
      <c r="AI104" s="192"/>
      <c r="AJ104" s="192"/>
      <c r="AK104" s="192"/>
      <c r="AL104" s="193"/>
      <c r="AM104" s="196"/>
      <c r="AN104" s="195"/>
    </row>
    <row r="105" spans="1:40" ht="123.75" customHeight="1" x14ac:dyDescent="2.1">
      <c r="B105" s="172" t="s">
        <v>123</v>
      </c>
      <c r="C105" s="142" t="s">
        <v>2</v>
      </c>
      <c r="D105" s="143"/>
      <c r="E105" s="142" t="s">
        <v>3</v>
      </c>
      <c r="F105" s="143"/>
      <c r="G105" s="142" t="s">
        <v>4</v>
      </c>
      <c r="H105" s="143"/>
      <c r="I105" s="142" t="s">
        <v>5</v>
      </c>
      <c r="J105" s="143"/>
      <c r="K105" s="142" t="s">
        <v>6</v>
      </c>
      <c r="L105" s="143"/>
      <c r="M105" s="142" t="s">
        <v>7</v>
      </c>
      <c r="N105" s="143"/>
      <c r="O105" s="142" t="s">
        <v>8</v>
      </c>
      <c r="P105" s="143"/>
      <c r="Q105" s="142" t="s">
        <v>9</v>
      </c>
      <c r="R105" s="143"/>
      <c r="S105" s="142" t="s">
        <v>10</v>
      </c>
      <c r="T105" s="143"/>
      <c r="U105" s="142" t="s">
        <v>11</v>
      </c>
      <c r="V105" s="143"/>
      <c r="W105" s="142" t="s">
        <v>12</v>
      </c>
      <c r="X105" s="143"/>
      <c r="Y105" s="172" t="s">
        <v>13</v>
      </c>
      <c r="Z105" s="111"/>
      <c r="AA105" s="172" t="s">
        <v>14</v>
      </c>
      <c r="AB105" s="172" t="s">
        <v>15</v>
      </c>
      <c r="AC105" s="172" t="s">
        <v>123</v>
      </c>
      <c r="AD105" s="148"/>
      <c r="AE105" s="149"/>
      <c r="AF105" s="6" t="s">
        <v>17</v>
      </c>
      <c r="AG105" s="7"/>
      <c r="AH105" s="191"/>
      <c r="AI105" s="192"/>
      <c r="AJ105" s="192"/>
      <c r="AK105" s="192"/>
      <c r="AL105" s="193"/>
      <c r="AM105" s="196"/>
      <c r="AN105" s="195"/>
    </row>
    <row r="106" spans="1:40" s="4" customFormat="1" ht="138" customHeight="1" x14ac:dyDescent="2.1">
      <c r="B106" s="173"/>
      <c r="C106" s="9" t="s">
        <v>18</v>
      </c>
      <c r="D106" s="9" t="s">
        <v>19</v>
      </c>
      <c r="E106" s="9" t="s">
        <v>18</v>
      </c>
      <c r="F106" s="9" t="s">
        <v>19</v>
      </c>
      <c r="G106" s="9" t="s">
        <v>18</v>
      </c>
      <c r="H106" s="9" t="s">
        <v>19</v>
      </c>
      <c r="I106" s="9" t="s">
        <v>18</v>
      </c>
      <c r="J106" s="9" t="s">
        <v>19</v>
      </c>
      <c r="K106" s="9" t="s">
        <v>18</v>
      </c>
      <c r="L106" s="9" t="s">
        <v>19</v>
      </c>
      <c r="M106" s="9" t="s">
        <v>18</v>
      </c>
      <c r="N106" s="9" t="s">
        <v>19</v>
      </c>
      <c r="O106" s="9" t="s">
        <v>18</v>
      </c>
      <c r="P106" s="9" t="s">
        <v>19</v>
      </c>
      <c r="Q106" s="9" t="s">
        <v>18</v>
      </c>
      <c r="R106" s="9" t="s">
        <v>19</v>
      </c>
      <c r="S106" s="9" t="s">
        <v>18</v>
      </c>
      <c r="T106" s="9" t="s">
        <v>19</v>
      </c>
      <c r="U106" s="9" t="s">
        <v>18</v>
      </c>
      <c r="V106" s="9" t="s">
        <v>19</v>
      </c>
      <c r="W106" s="9" t="s">
        <v>18</v>
      </c>
      <c r="X106" s="9" t="s">
        <v>19</v>
      </c>
      <c r="Y106" s="173"/>
      <c r="Z106" s="112"/>
      <c r="AA106" s="173"/>
      <c r="AB106" s="173"/>
      <c r="AC106" s="173"/>
      <c r="AD106" s="10"/>
      <c r="AE106" s="11"/>
      <c r="AF106" s="6"/>
      <c r="AG106" s="7"/>
      <c r="AH106" s="191"/>
      <c r="AI106" s="192"/>
      <c r="AJ106" s="192"/>
      <c r="AK106" s="192"/>
      <c r="AL106" s="193"/>
      <c r="AM106" s="196"/>
      <c r="AN106" s="195"/>
    </row>
    <row r="107" spans="1:40" s="47" customFormat="1" ht="111" hidden="1" customHeight="1" x14ac:dyDescent="2.1">
      <c r="A107" s="12"/>
      <c r="B107" s="13" t="s">
        <v>124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13">
        <v>0</v>
      </c>
      <c r="AA107" s="14">
        <f t="shared" ref="AA107:AA152" si="32">SUM(C107,E107,G107,I107,K107,M107,O107,Q107,S107,U107,W107,Y107)</f>
        <v>0</v>
      </c>
      <c r="AB107" s="14">
        <f t="shared" ref="AB107:AB152" si="33">SUM(D107,F107,H107,J107,L107,N107,P107,R107,T107,V107,X107)</f>
        <v>0</v>
      </c>
      <c r="AC107" s="13" t="s">
        <v>124</v>
      </c>
      <c r="AD107" s="159">
        <f>SUM(AA107:AA110)</f>
        <v>0</v>
      </c>
      <c r="AE107" s="160"/>
      <c r="AF107" s="16">
        <f>Z107</f>
        <v>0</v>
      </c>
      <c r="AG107" s="17"/>
      <c r="AH107" s="191"/>
      <c r="AI107" s="192"/>
      <c r="AJ107" s="192"/>
      <c r="AK107" s="192"/>
      <c r="AL107" s="193"/>
      <c r="AM107" s="196"/>
      <c r="AN107" s="195"/>
    </row>
    <row r="108" spans="1:40" s="47" customFormat="1" ht="111" hidden="1" customHeight="1" x14ac:dyDescent="2.1">
      <c r="A108" s="12"/>
      <c r="B108" s="13" t="s">
        <v>125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13">
        <v>0</v>
      </c>
      <c r="AA108" s="14">
        <f t="shared" si="32"/>
        <v>0</v>
      </c>
      <c r="AB108" s="14">
        <f t="shared" si="33"/>
        <v>0</v>
      </c>
      <c r="AC108" s="13" t="s">
        <v>125</v>
      </c>
      <c r="AD108" s="161"/>
      <c r="AE108" s="162"/>
      <c r="AF108" s="16">
        <f t="shared" ref="AF108:AF136" si="34">Z108</f>
        <v>0</v>
      </c>
      <c r="AG108" s="17"/>
      <c r="AH108" s="39"/>
      <c r="AI108" s="24"/>
      <c r="AJ108" s="24"/>
      <c r="AK108" s="24"/>
      <c r="AL108" s="25"/>
      <c r="AM108" s="196"/>
      <c r="AN108" s="195"/>
    </row>
    <row r="109" spans="1:40" s="47" customFormat="1" ht="111" hidden="1" customHeight="1" x14ac:dyDescent="2.1">
      <c r="A109" s="12"/>
      <c r="B109" s="13" t="s">
        <v>126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13">
        <v>0</v>
      </c>
      <c r="AA109" s="14">
        <f t="shared" si="32"/>
        <v>0</v>
      </c>
      <c r="AB109" s="14">
        <f t="shared" si="33"/>
        <v>0</v>
      </c>
      <c r="AC109" s="13" t="s">
        <v>126</v>
      </c>
      <c r="AD109" s="161"/>
      <c r="AE109" s="162"/>
      <c r="AF109" s="16">
        <f t="shared" si="34"/>
        <v>0</v>
      </c>
      <c r="AG109" s="17"/>
      <c r="AH109" s="39"/>
      <c r="AI109" s="24"/>
      <c r="AJ109" s="24"/>
      <c r="AK109" s="24"/>
      <c r="AL109" s="25"/>
      <c r="AM109" s="196"/>
      <c r="AN109" s="195"/>
    </row>
    <row r="110" spans="1:40" s="47" customFormat="1" ht="111" hidden="1" customHeight="1" x14ac:dyDescent="2.1">
      <c r="A110" s="12"/>
      <c r="B110" s="13" t="s">
        <v>127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13">
        <v>0</v>
      </c>
      <c r="AA110" s="14">
        <f t="shared" si="32"/>
        <v>0</v>
      </c>
      <c r="AB110" s="14">
        <f t="shared" si="33"/>
        <v>0</v>
      </c>
      <c r="AC110" s="13" t="s">
        <v>127</v>
      </c>
      <c r="AD110" s="161"/>
      <c r="AE110" s="162"/>
      <c r="AF110" s="16">
        <f t="shared" si="34"/>
        <v>0</v>
      </c>
      <c r="AG110" s="17"/>
      <c r="AH110" s="39"/>
      <c r="AI110" s="24"/>
      <c r="AJ110" s="24"/>
      <c r="AK110" s="24"/>
      <c r="AL110" s="25"/>
      <c r="AM110" s="196"/>
      <c r="AN110" s="195"/>
    </row>
    <row r="111" spans="1:40" s="47" customFormat="1" ht="111" hidden="1" customHeight="1" thickBot="1" x14ac:dyDescent="2.15">
      <c r="A111" s="12"/>
      <c r="B111" s="13"/>
      <c r="C111" s="30">
        <f>SUM(C107:C110)</f>
        <v>0</v>
      </c>
      <c r="D111" s="30">
        <f t="shared" ref="D111:Y111" si="35">SUM(D107:D110)</f>
        <v>0</v>
      </c>
      <c r="E111" s="30">
        <f t="shared" si="35"/>
        <v>0</v>
      </c>
      <c r="F111" s="30">
        <f t="shared" si="35"/>
        <v>0</v>
      </c>
      <c r="G111" s="30">
        <f t="shared" si="35"/>
        <v>0</v>
      </c>
      <c r="H111" s="30">
        <f t="shared" si="35"/>
        <v>0</v>
      </c>
      <c r="I111" s="30">
        <f t="shared" si="35"/>
        <v>0</v>
      </c>
      <c r="J111" s="30">
        <f t="shared" si="35"/>
        <v>0</v>
      </c>
      <c r="K111" s="30">
        <f t="shared" si="35"/>
        <v>0</v>
      </c>
      <c r="L111" s="30">
        <f t="shared" si="35"/>
        <v>0</v>
      </c>
      <c r="M111" s="30">
        <f t="shared" si="35"/>
        <v>0</v>
      </c>
      <c r="N111" s="30">
        <f t="shared" si="35"/>
        <v>0</v>
      </c>
      <c r="O111" s="30">
        <f t="shared" si="35"/>
        <v>0</v>
      </c>
      <c r="P111" s="30">
        <f t="shared" si="35"/>
        <v>0</v>
      </c>
      <c r="Q111" s="30">
        <f t="shared" si="35"/>
        <v>0</v>
      </c>
      <c r="R111" s="30">
        <f t="shared" si="35"/>
        <v>0</v>
      </c>
      <c r="S111" s="30">
        <f t="shared" si="35"/>
        <v>0</v>
      </c>
      <c r="T111" s="30">
        <f t="shared" si="35"/>
        <v>0</v>
      </c>
      <c r="U111" s="30">
        <f t="shared" si="35"/>
        <v>0</v>
      </c>
      <c r="V111" s="30">
        <f t="shared" si="35"/>
        <v>0</v>
      </c>
      <c r="W111" s="30">
        <f t="shared" si="35"/>
        <v>0</v>
      </c>
      <c r="X111" s="30">
        <f t="shared" si="35"/>
        <v>0</v>
      </c>
      <c r="Y111" s="30">
        <f t="shared" si="35"/>
        <v>0</v>
      </c>
      <c r="Z111" s="114"/>
      <c r="AA111" s="14"/>
      <c r="AB111" s="14"/>
      <c r="AC111" s="13"/>
      <c r="AD111" s="163"/>
      <c r="AE111" s="164"/>
      <c r="AF111" s="16">
        <f t="shared" si="34"/>
        <v>0</v>
      </c>
      <c r="AG111" s="17"/>
      <c r="AH111" s="185"/>
      <c r="AI111" s="186"/>
      <c r="AJ111" s="186"/>
      <c r="AK111" s="186"/>
      <c r="AL111" s="187"/>
      <c r="AM111" s="196"/>
      <c r="AN111" s="195"/>
    </row>
    <row r="112" spans="1:40" s="12" customFormat="1" ht="113.25" hidden="1" customHeight="1" x14ac:dyDescent="2.1">
      <c r="B112" s="13" t="s">
        <v>128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13">
        <v>0</v>
      </c>
      <c r="AA112" s="14">
        <f t="shared" si="32"/>
        <v>0</v>
      </c>
      <c r="AB112" s="14">
        <f t="shared" si="33"/>
        <v>0</v>
      </c>
      <c r="AC112" s="13" t="s">
        <v>128</v>
      </c>
      <c r="AD112" s="159">
        <f>SUM(AA112:AA124)</f>
        <v>3</v>
      </c>
      <c r="AE112" s="160"/>
      <c r="AF112" s="16">
        <f t="shared" si="34"/>
        <v>0</v>
      </c>
      <c r="AG112" s="17"/>
      <c r="AH112" s="165" t="s">
        <v>129</v>
      </c>
      <c r="AI112" s="166"/>
      <c r="AJ112" s="166"/>
      <c r="AK112" s="166"/>
      <c r="AL112" s="167"/>
      <c r="AM112" s="196"/>
      <c r="AN112" s="195"/>
    </row>
    <row r="113" spans="1:40" s="12" customFormat="1" ht="113.25" hidden="1" customHeight="1" x14ac:dyDescent="2.1">
      <c r="B113" s="13" t="s">
        <v>130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13">
        <v>0</v>
      </c>
      <c r="AA113" s="14">
        <f t="shared" si="32"/>
        <v>0</v>
      </c>
      <c r="AB113" s="14">
        <f t="shared" si="33"/>
        <v>0</v>
      </c>
      <c r="AC113" s="13" t="s">
        <v>130</v>
      </c>
      <c r="AD113" s="161"/>
      <c r="AE113" s="162"/>
      <c r="AF113" s="16">
        <f t="shared" si="34"/>
        <v>0</v>
      </c>
      <c r="AG113" s="17"/>
      <c r="AH113" s="168"/>
      <c r="AI113" s="169"/>
      <c r="AJ113" s="169"/>
      <c r="AK113" s="169"/>
      <c r="AL113" s="170"/>
      <c r="AM113" s="180" t="s">
        <v>131</v>
      </c>
      <c r="AN113" s="181"/>
    </row>
    <row r="114" spans="1:40" s="12" customFormat="1" ht="113.25" customHeight="1" x14ac:dyDescent="2.1">
      <c r="B114" s="13" t="s">
        <v>132</v>
      </c>
      <c r="C114" s="14">
        <v>0</v>
      </c>
      <c r="D114" s="14"/>
      <c r="E114" s="14">
        <v>0</v>
      </c>
      <c r="F114" s="14"/>
      <c r="G114" s="14">
        <v>0</v>
      </c>
      <c r="H114" s="14"/>
      <c r="I114" s="14">
        <v>0</v>
      </c>
      <c r="J114" s="14"/>
      <c r="K114" s="14">
        <v>0</v>
      </c>
      <c r="L114" s="14"/>
      <c r="M114" s="14">
        <v>0</v>
      </c>
      <c r="N114" s="14"/>
      <c r="O114" s="14">
        <v>0</v>
      </c>
      <c r="P114" s="14"/>
      <c r="Q114" s="14">
        <v>0</v>
      </c>
      <c r="R114" s="14"/>
      <c r="S114" s="14">
        <v>0</v>
      </c>
      <c r="T114" s="14"/>
      <c r="U114" s="14">
        <v>0</v>
      </c>
      <c r="V114" s="14"/>
      <c r="W114" s="14">
        <v>1</v>
      </c>
      <c r="X114" s="14"/>
      <c r="Y114" s="14">
        <v>0</v>
      </c>
      <c r="Z114" s="113">
        <v>89700</v>
      </c>
      <c r="AA114" s="14">
        <f t="shared" si="32"/>
        <v>1</v>
      </c>
      <c r="AB114" s="14">
        <f t="shared" si="33"/>
        <v>0</v>
      </c>
      <c r="AC114" s="13" t="s">
        <v>132</v>
      </c>
      <c r="AD114" s="161"/>
      <c r="AE114" s="162"/>
      <c r="AF114" s="16">
        <f t="shared" si="34"/>
        <v>89700</v>
      </c>
      <c r="AG114" s="17"/>
      <c r="AH114" s="168"/>
      <c r="AI114" s="169"/>
      <c r="AJ114" s="169"/>
      <c r="AK114" s="169"/>
      <c r="AL114" s="170"/>
      <c r="AM114" s="180"/>
      <c r="AN114" s="181"/>
    </row>
    <row r="115" spans="1:40" s="12" customFormat="1" ht="113.25" customHeight="1" x14ac:dyDescent="2.1">
      <c r="B115" s="13" t="s">
        <v>133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13">
        <v>0</v>
      </c>
      <c r="AA115" s="14">
        <f t="shared" si="32"/>
        <v>0</v>
      </c>
      <c r="AB115" s="14">
        <f t="shared" si="33"/>
        <v>0</v>
      </c>
      <c r="AC115" s="13" t="s">
        <v>133</v>
      </c>
      <c r="AD115" s="161"/>
      <c r="AE115" s="162"/>
      <c r="AF115" s="16">
        <f t="shared" si="34"/>
        <v>0</v>
      </c>
      <c r="AG115" s="17"/>
      <c r="AH115" s="168"/>
      <c r="AI115" s="169"/>
      <c r="AJ115" s="169"/>
      <c r="AK115" s="169"/>
      <c r="AL115" s="170"/>
      <c r="AM115" s="180"/>
      <c r="AN115" s="181"/>
    </row>
    <row r="116" spans="1:40" s="12" customFormat="1" ht="113.25" customHeight="1" x14ac:dyDescent="2.1">
      <c r="B116" s="13" t="s">
        <v>134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13">
        <v>0</v>
      </c>
      <c r="AA116" s="14">
        <f t="shared" si="32"/>
        <v>0</v>
      </c>
      <c r="AB116" s="14">
        <f t="shared" si="33"/>
        <v>0</v>
      </c>
      <c r="AC116" s="13" t="s">
        <v>134</v>
      </c>
      <c r="AD116" s="161"/>
      <c r="AE116" s="162"/>
      <c r="AF116" s="16">
        <f t="shared" si="34"/>
        <v>0</v>
      </c>
      <c r="AG116" s="17"/>
      <c r="AH116" s="168"/>
      <c r="AI116" s="169"/>
      <c r="AJ116" s="169"/>
      <c r="AK116" s="169"/>
      <c r="AL116" s="170"/>
      <c r="AM116" s="180"/>
      <c r="AN116" s="181"/>
    </row>
    <row r="117" spans="1:40" s="12" customFormat="1" ht="113.25" customHeight="1" x14ac:dyDescent="2.1">
      <c r="B117" s="13" t="s">
        <v>135</v>
      </c>
      <c r="C117" s="14">
        <v>0</v>
      </c>
      <c r="D117" s="14">
        <v>1</v>
      </c>
      <c r="E117" s="14">
        <v>0</v>
      </c>
      <c r="F117" s="14">
        <v>1</v>
      </c>
      <c r="G117" s="14">
        <v>0</v>
      </c>
      <c r="H117" s="14">
        <v>1</v>
      </c>
      <c r="I117" s="14">
        <v>0</v>
      </c>
      <c r="J117" s="14">
        <v>0</v>
      </c>
      <c r="K117" s="14">
        <v>0</v>
      </c>
      <c r="L117" s="14">
        <v>1</v>
      </c>
      <c r="M117" s="14">
        <v>0</v>
      </c>
      <c r="N117" s="14">
        <v>0</v>
      </c>
      <c r="O117" s="14">
        <v>0</v>
      </c>
      <c r="P117" s="14">
        <v>1</v>
      </c>
      <c r="Q117" s="14">
        <v>0</v>
      </c>
      <c r="R117" s="14">
        <v>0</v>
      </c>
      <c r="S117" s="14">
        <v>1</v>
      </c>
      <c r="T117" s="14">
        <v>0</v>
      </c>
      <c r="U117" s="14">
        <v>0</v>
      </c>
      <c r="V117" s="14">
        <v>1</v>
      </c>
      <c r="W117" s="14">
        <v>0</v>
      </c>
      <c r="X117" s="14">
        <v>1</v>
      </c>
      <c r="Y117" s="14">
        <v>0</v>
      </c>
      <c r="Z117" s="113">
        <v>96600</v>
      </c>
      <c r="AA117" s="14">
        <f t="shared" si="32"/>
        <v>1</v>
      </c>
      <c r="AB117" s="14">
        <f t="shared" si="33"/>
        <v>7</v>
      </c>
      <c r="AC117" s="13" t="s">
        <v>135</v>
      </c>
      <c r="AD117" s="161"/>
      <c r="AE117" s="162"/>
      <c r="AF117" s="16">
        <f t="shared" si="34"/>
        <v>96600</v>
      </c>
      <c r="AG117" s="17"/>
      <c r="AH117" s="168"/>
      <c r="AI117" s="169"/>
      <c r="AJ117" s="169"/>
      <c r="AK117" s="169"/>
      <c r="AL117" s="170"/>
      <c r="AM117" s="180"/>
      <c r="AN117" s="181"/>
    </row>
    <row r="118" spans="1:40" s="47" customFormat="1" ht="113.25" customHeight="1" x14ac:dyDescent="2.1">
      <c r="A118" s="12"/>
      <c r="B118" s="13" t="s">
        <v>136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13">
        <v>0</v>
      </c>
      <c r="AA118" s="14">
        <f t="shared" si="32"/>
        <v>0</v>
      </c>
      <c r="AB118" s="14">
        <f t="shared" si="33"/>
        <v>0</v>
      </c>
      <c r="AC118" s="13" t="s">
        <v>136</v>
      </c>
      <c r="AD118" s="161"/>
      <c r="AE118" s="162"/>
      <c r="AF118" s="16">
        <f t="shared" si="34"/>
        <v>0</v>
      </c>
      <c r="AG118" s="17"/>
      <c r="AH118" s="171">
        <f>SUM(AF112:AF124)</f>
        <v>276000</v>
      </c>
      <c r="AI118" s="169"/>
      <c r="AJ118" s="169"/>
      <c r="AK118" s="169"/>
      <c r="AL118" s="170"/>
      <c r="AM118" s="180"/>
      <c r="AN118" s="181"/>
    </row>
    <row r="119" spans="1:40" s="47" customFormat="1" ht="120.75" customHeight="1" x14ac:dyDescent="2.1">
      <c r="A119" s="12"/>
      <c r="B119" s="13" t="s">
        <v>137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1</v>
      </c>
      <c r="W119" s="14">
        <v>0</v>
      </c>
      <c r="X119" s="14">
        <v>0</v>
      </c>
      <c r="Y119" s="14">
        <v>0</v>
      </c>
      <c r="Z119" s="113">
        <v>0</v>
      </c>
      <c r="AA119" s="14">
        <f t="shared" si="32"/>
        <v>0</v>
      </c>
      <c r="AB119" s="14">
        <f t="shared" si="33"/>
        <v>1</v>
      </c>
      <c r="AC119" s="13" t="s">
        <v>137</v>
      </c>
      <c r="AD119" s="161"/>
      <c r="AE119" s="162"/>
      <c r="AF119" s="16">
        <f t="shared" si="34"/>
        <v>0</v>
      </c>
      <c r="AG119" s="17"/>
      <c r="AH119" s="171"/>
      <c r="AI119" s="169"/>
      <c r="AJ119" s="169"/>
      <c r="AK119" s="169"/>
      <c r="AL119" s="170"/>
      <c r="AM119" s="180"/>
      <c r="AN119" s="181"/>
    </row>
    <row r="120" spans="1:40" s="12" customFormat="1" ht="113.25" customHeight="1" x14ac:dyDescent="2.1">
      <c r="B120" s="13" t="s">
        <v>138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1</v>
      </c>
      <c r="Q120" s="14">
        <v>0</v>
      </c>
      <c r="R120" s="14">
        <v>0</v>
      </c>
      <c r="S120" s="14">
        <v>0</v>
      </c>
      <c r="T120" s="14">
        <v>1</v>
      </c>
      <c r="U120" s="14">
        <v>1</v>
      </c>
      <c r="V120" s="14">
        <v>0</v>
      </c>
      <c r="W120" s="14">
        <v>0</v>
      </c>
      <c r="X120" s="14">
        <v>1</v>
      </c>
      <c r="Y120" s="14">
        <v>0</v>
      </c>
      <c r="Z120" s="113">
        <v>89700</v>
      </c>
      <c r="AA120" s="14">
        <f t="shared" si="32"/>
        <v>1</v>
      </c>
      <c r="AB120" s="14">
        <f t="shared" si="33"/>
        <v>3</v>
      </c>
      <c r="AC120" s="13" t="s">
        <v>138</v>
      </c>
      <c r="AD120" s="161"/>
      <c r="AE120" s="162"/>
      <c r="AF120" s="16">
        <f t="shared" si="34"/>
        <v>89700</v>
      </c>
      <c r="AG120" s="17"/>
      <c r="AH120" s="26"/>
      <c r="AI120" s="27"/>
      <c r="AJ120" s="27"/>
      <c r="AK120" s="27"/>
      <c r="AL120" s="28"/>
      <c r="AM120" s="180"/>
      <c r="AN120" s="181"/>
    </row>
    <row r="121" spans="1:40" s="12" customFormat="1" ht="113.25" customHeight="1" x14ac:dyDescent="2.1">
      <c r="B121" s="13" t="s">
        <v>139</v>
      </c>
      <c r="C121" s="14">
        <v>0</v>
      </c>
      <c r="D121" s="14">
        <v>0</v>
      </c>
      <c r="E121" s="14">
        <v>0</v>
      </c>
      <c r="F121" s="14">
        <v>1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13">
        <v>0</v>
      </c>
      <c r="AA121" s="14">
        <f t="shared" si="32"/>
        <v>0</v>
      </c>
      <c r="AB121" s="14">
        <f t="shared" si="33"/>
        <v>1</v>
      </c>
      <c r="AC121" s="13" t="s">
        <v>139</v>
      </c>
      <c r="AD121" s="161"/>
      <c r="AE121" s="162"/>
      <c r="AF121" s="16">
        <f t="shared" si="34"/>
        <v>0</v>
      </c>
      <c r="AG121" s="17"/>
      <c r="AH121" s="26"/>
      <c r="AI121" s="27"/>
      <c r="AJ121" s="27"/>
      <c r="AK121" s="27"/>
      <c r="AL121" s="28"/>
      <c r="AM121" s="180"/>
      <c r="AN121" s="181"/>
    </row>
    <row r="122" spans="1:40" s="12" customFormat="1" ht="113.25" customHeight="1" x14ac:dyDescent="2.1">
      <c r="B122" s="13" t="s">
        <v>140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1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13">
        <v>0</v>
      </c>
      <c r="AA122" s="14">
        <f t="shared" si="32"/>
        <v>0</v>
      </c>
      <c r="AB122" s="14">
        <f t="shared" si="33"/>
        <v>1</v>
      </c>
      <c r="AC122" s="13" t="s">
        <v>140</v>
      </c>
      <c r="AD122" s="161"/>
      <c r="AE122" s="162"/>
      <c r="AF122" s="16">
        <f t="shared" si="34"/>
        <v>0</v>
      </c>
      <c r="AG122" s="17"/>
      <c r="AH122" s="26"/>
      <c r="AI122" s="27"/>
      <c r="AJ122" s="27"/>
      <c r="AK122" s="27"/>
      <c r="AL122" s="28"/>
      <c r="AM122" s="180"/>
      <c r="AN122" s="181"/>
    </row>
    <row r="123" spans="1:40" s="12" customFormat="1" ht="113.25" customHeight="1" thickBot="1" x14ac:dyDescent="2.15">
      <c r="B123" s="13" t="s">
        <v>141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13">
        <v>0</v>
      </c>
      <c r="AA123" s="14">
        <f t="shared" si="32"/>
        <v>0</v>
      </c>
      <c r="AB123" s="14">
        <f t="shared" si="33"/>
        <v>0</v>
      </c>
      <c r="AC123" s="13" t="s">
        <v>141</v>
      </c>
      <c r="AD123" s="161"/>
      <c r="AE123" s="162"/>
      <c r="AF123" s="16">
        <f t="shared" si="34"/>
        <v>0</v>
      </c>
      <c r="AG123" s="17"/>
      <c r="AH123" s="83"/>
      <c r="AI123" s="84"/>
      <c r="AJ123" s="84"/>
      <c r="AK123" s="84"/>
      <c r="AL123" s="85"/>
      <c r="AM123" s="180"/>
      <c r="AN123" s="181"/>
    </row>
    <row r="124" spans="1:40" s="12" customFormat="1" ht="113.25" customHeight="1" thickBot="1" x14ac:dyDescent="2.15">
      <c r="B124" s="13" t="s">
        <v>142</v>
      </c>
      <c r="C124" s="14">
        <v>0</v>
      </c>
      <c r="D124" s="14">
        <v>1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1</v>
      </c>
      <c r="M124" s="14">
        <v>0</v>
      </c>
      <c r="N124" s="14">
        <v>0</v>
      </c>
      <c r="O124" s="14">
        <v>0</v>
      </c>
      <c r="P124" s="14">
        <v>1</v>
      </c>
      <c r="Q124" s="14">
        <v>0</v>
      </c>
      <c r="R124" s="14">
        <v>1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1</v>
      </c>
      <c r="Y124" s="14">
        <v>0</v>
      </c>
      <c r="Z124" s="113">
        <v>0</v>
      </c>
      <c r="AA124" s="14">
        <f t="shared" si="32"/>
        <v>0</v>
      </c>
      <c r="AB124" s="14">
        <f t="shared" si="33"/>
        <v>5</v>
      </c>
      <c r="AC124" s="13" t="s">
        <v>142</v>
      </c>
      <c r="AD124" s="161"/>
      <c r="AE124" s="162"/>
      <c r="AF124" s="16">
        <f t="shared" si="34"/>
        <v>0</v>
      </c>
      <c r="AG124" s="17"/>
      <c r="AH124" s="83"/>
      <c r="AI124" s="84"/>
      <c r="AJ124" s="84"/>
      <c r="AK124" s="84"/>
      <c r="AL124" s="85"/>
      <c r="AM124" s="180"/>
      <c r="AN124" s="181"/>
    </row>
    <row r="125" spans="1:40" s="12" customFormat="1" ht="113.25" customHeight="1" x14ac:dyDescent="2.1">
      <c r="B125" s="13"/>
      <c r="C125" s="30">
        <f>SUM(C112:C124)</f>
        <v>0</v>
      </c>
      <c r="D125" s="30">
        <f t="shared" ref="D125:Y125" si="36">SUM(D112:D124)</f>
        <v>2</v>
      </c>
      <c r="E125" s="30">
        <f t="shared" si="36"/>
        <v>0</v>
      </c>
      <c r="F125" s="30">
        <f t="shared" si="36"/>
        <v>2</v>
      </c>
      <c r="G125" s="30">
        <f t="shared" si="36"/>
        <v>0</v>
      </c>
      <c r="H125" s="30">
        <f t="shared" si="36"/>
        <v>1</v>
      </c>
      <c r="I125" s="30">
        <f t="shared" si="36"/>
        <v>0</v>
      </c>
      <c r="J125" s="30">
        <f t="shared" si="36"/>
        <v>0</v>
      </c>
      <c r="K125" s="30">
        <f t="shared" si="36"/>
        <v>0</v>
      </c>
      <c r="L125" s="30">
        <f t="shared" si="36"/>
        <v>2</v>
      </c>
      <c r="M125" s="30">
        <f t="shared" si="36"/>
        <v>0</v>
      </c>
      <c r="N125" s="30">
        <f t="shared" si="36"/>
        <v>0</v>
      </c>
      <c r="O125" s="30">
        <f t="shared" si="36"/>
        <v>0</v>
      </c>
      <c r="P125" s="30">
        <f t="shared" si="36"/>
        <v>3</v>
      </c>
      <c r="Q125" s="30">
        <f t="shared" si="36"/>
        <v>0</v>
      </c>
      <c r="R125" s="30">
        <f t="shared" si="36"/>
        <v>2</v>
      </c>
      <c r="S125" s="30">
        <f t="shared" si="36"/>
        <v>1</v>
      </c>
      <c r="T125" s="30">
        <f t="shared" si="36"/>
        <v>1</v>
      </c>
      <c r="U125" s="30">
        <f t="shared" si="36"/>
        <v>1</v>
      </c>
      <c r="V125" s="30">
        <f t="shared" si="36"/>
        <v>2</v>
      </c>
      <c r="W125" s="30">
        <f t="shared" si="36"/>
        <v>1</v>
      </c>
      <c r="X125" s="30">
        <f t="shared" si="36"/>
        <v>3</v>
      </c>
      <c r="Y125" s="30">
        <f t="shared" si="36"/>
        <v>0</v>
      </c>
      <c r="Z125" s="114">
        <v>0</v>
      </c>
      <c r="AA125" s="14"/>
      <c r="AB125" s="14"/>
      <c r="AC125" s="13"/>
      <c r="AD125" s="163"/>
      <c r="AE125" s="164"/>
      <c r="AF125" s="16">
        <f t="shared" si="34"/>
        <v>0</v>
      </c>
      <c r="AG125" s="17"/>
      <c r="AH125" s="39"/>
      <c r="AI125" s="24"/>
      <c r="AJ125" s="24"/>
      <c r="AK125" s="24"/>
      <c r="AL125" s="25"/>
      <c r="AM125" s="180"/>
      <c r="AN125" s="181"/>
    </row>
    <row r="126" spans="1:40" s="12" customFormat="1" ht="113.25" hidden="1" customHeight="1" x14ac:dyDescent="2.1">
      <c r="B126" s="13" t="s">
        <v>143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13">
        <v>0</v>
      </c>
      <c r="AA126" s="14">
        <f t="shared" si="32"/>
        <v>0</v>
      </c>
      <c r="AB126" s="14">
        <f t="shared" si="33"/>
        <v>0</v>
      </c>
      <c r="AC126" s="13" t="s">
        <v>143</v>
      </c>
      <c r="AD126" s="159">
        <f>SUM(AA126:AA135)</f>
        <v>1</v>
      </c>
      <c r="AE126" s="160"/>
      <c r="AF126" s="16">
        <f t="shared" si="34"/>
        <v>0</v>
      </c>
      <c r="AG126" s="17"/>
      <c r="AH126" s="165" t="s">
        <v>144</v>
      </c>
      <c r="AI126" s="166"/>
      <c r="AJ126" s="166"/>
      <c r="AK126" s="166"/>
      <c r="AL126" s="167"/>
      <c r="AM126" s="180"/>
      <c r="AN126" s="181"/>
    </row>
    <row r="127" spans="1:40" s="12" customFormat="1" ht="113.25" hidden="1" customHeight="1" x14ac:dyDescent="2.1">
      <c r="B127" s="13" t="s">
        <v>145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13">
        <v>0</v>
      </c>
      <c r="AA127" s="14">
        <f t="shared" si="32"/>
        <v>0</v>
      </c>
      <c r="AB127" s="14">
        <f t="shared" si="33"/>
        <v>0</v>
      </c>
      <c r="AC127" s="13" t="s">
        <v>145</v>
      </c>
      <c r="AD127" s="161"/>
      <c r="AE127" s="162"/>
      <c r="AF127" s="16">
        <f t="shared" si="34"/>
        <v>0</v>
      </c>
      <c r="AG127" s="17"/>
      <c r="AH127" s="168"/>
      <c r="AI127" s="169"/>
      <c r="AJ127" s="169"/>
      <c r="AK127" s="169"/>
      <c r="AL127" s="170"/>
      <c r="AM127" s="180"/>
      <c r="AN127" s="181"/>
    </row>
    <row r="128" spans="1:40" s="12" customFormat="1" ht="113.25" customHeight="1" x14ac:dyDescent="2.1">
      <c r="B128" s="13" t="s">
        <v>146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1</v>
      </c>
      <c r="Y128" s="14">
        <v>0</v>
      </c>
      <c r="Z128" s="113">
        <v>0</v>
      </c>
      <c r="AA128" s="14">
        <f t="shared" si="32"/>
        <v>0</v>
      </c>
      <c r="AB128" s="14">
        <f t="shared" si="33"/>
        <v>1</v>
      </c>
      <c r="AC128" s="13" t="s">
        <v>146</v>
      </c>
      <c r="AD128" s="161"/>
      <c r="AE128" s="162"/>
      <c r="AF128" s="16">
        <f t="shared" si="34"/>
        <v>0</v>
      </c>
      <c r="AG128" s="17"/>
      <c r="AH128" s="39"/>
      <c r="AI128" s="24"/>
      <c r="AJ128" s="24"/>
      <c r="AK128" s="24"/>
      <c r="AL128" s="25"/>
      <c r="AM128" s="180"/>
      <c r="AN128" s="181"/>
    </row>
    <row r="129" spans="1:42" s="12" customFormat="1" ht="113.25" hidden="1" customHeight="1" x14ac:dyDescent="2.1">
      <c r="B129" s="13" t="s">
        <v>147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13">
        <v>0</v>
      </c>
      <c r="AA129" s="14">
        <f t="shared" si="32"/>
        <v>0</v>
      </c>
      <c r="AB129" s="14">
        <f t="shared" si="33"/>
        <v>0</v>
      </c>
      <c r="AC129" s="13" t="s">
        <v>147</v>
      </c>
      <c r="AD129" s="161"/>
      <c r="AE129" s="162"/>
      <c r="AF129" s="16">
        <f t="shared" si="34"/>
        <v>0</v>
      </c>
      <c r="AG129" s="17"/>
      <c r="AH129" s="171">
        <f>SUM(AF126:AF135)</f>
        <v>137500</v>
      </c>
      <c r="AI129" s="169"/>
      <c r="AJ129" s="169"/>
      <c r="AK129" s="169"/>
      <c r="AL129" s="170"/>
      <c r="AM129" s="180"/>
      <c r="AN129" s="181"/>
    </row>
    <row r="130" spans="1:42" s="12" customFormat="1" ht="113.25" hidden="1" customHeight="1" x14ac:dyDescent="2.1">
      <c r="B130" s="13" t="s">
        <v>148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13">
        <v>0</v>
      </c>
      <c r="AA130" s="14">
        <f t="shared" si="32"/>
        <v>0</v>
      </c>
      <c r="AB130" s="14">
        <f t="shared" si="33"/>
        <v>0</v>
      </c>
      <c r="AC130" s="13" t="s">
        <v>148</v>
      </c>
      <c r="AD130" s="161"/>
      <c r="AE130" s="162"/>
      <c r="AF130" s="16">
        <f t="shared" si="34"/>
        <v>0</v>
      </c>
      <c r="AG130" s="17"/>
      <c r="AH130" s="23"/>
      <c r="AI130" s="24"/>
      <c r="AJ130" s="24"/>
      <c r="AK130" s="24"/>
      <c r="AL130" s="25"/>
      <c r="AM130" s="180"/>
      <c r="AN130" s="181"/>
    </row>
    <row r="131" spans="1:42" s="12" customFormat="1" ht="113.25" customHeight="1" x14ac:dyDescent="2.1">
      <c r="B131" s="13" t="s">
        <v>149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13">
        <v>0</v>
      </c>
      <c r="AA131" s="14">
        <f t="shared" si="32"/>
        <v>0</v>
      </c>
      <c r="AB131" s="14">
        <f t="shared" si="33"/>
        <v>0</v>
      </c>
      <c r="AC131" s="13" t="s">
        <v>149</v>
      </c>
      <c r="AD131" s="161"/>
      <c r="AE131" s="162"/>
      <c r="AF131" s="16">
        <f t="shared" si="34"/>
        <v>0</v>
      </c>
      <c r="AG131" s="17"/>
      <c r="AH131" s="26"/>
      <c r="AI131" s="27"/>
      <c r="AJ131" s="27"/>
      <c r="AK131" s="27"/>
      <c r="AL131" s="28"/>
      <c r="AM131" s="180"/>
      <c r="AN131" s="181"/>
    </row>
    <row r="132" spans="1:42" s="12" customFormat="1" ht="94.5" customHeight="1" thickBot="1" x14ac:dyDescent="2.15">
      <c r="B132" s="13" t="s">
        <v>150</v>
      </c>
      <c r="C132" s="14">
        <v>0</v>
      </c>
      <c r="D132" s="14"/>
      <c r="E132" s="14">
        <v>0</v>
      </c>
      <c r="F132" s="14"/>
      <c r="G132" s="14">
        <v>0</v>
      </c>
      <c r="H132" s="14"/>
      <c r="I132" s="14">
        <v>0</v>
      </c>
      <c r="J132" s="14"/>
      <c r="K132" s="14">
        <v>0</v>
      </c>
      <c r="L132" s="14"/>
      <c r="M132" s="14">
        <v>0</v>
      </c>
      <c r="N132" s="14"/>
      <c r="O132" s="14">
        <v>0</v>
      </c>
      <c r="P132" s="14"/>
      <c r="Q132" s="14">
        <v>0</v>
      </c>
      <c r="R132" s="14"/>
      <c r="S132" s="14">
        <v>0</v>
      </c>
      <c r="T132" s="14"/>
      <c r="U132" s="14">
        <v>0</v>
      </c>
      <c r="V132" s="14"/>
      <c r="W132" s="14">
        <v>0</v>
      </c>
      <c r="X132" s="14"/>
      <c r="Y132" s="14">
        <v>1</v>
      </c>
      <c r="Z132" s="113">
        <v>137500</v>
      </c>
      <c r="AA132" s="14">
        <f t="shared" si="32"/>
        <v>1</v>
      </c>
      <c r="AB132" s="14">
        <f t="shared" si="33"/>
        <v>0</v>
      </c>
      <c r="AC132" s="13" t="s">
        <v>150</v>
      </c>
      <c r="AD132" s="161"/>
      <c r="AE132" s="162"/>
      <c r="AF132" s="16">
        <f t="shared" si="34"/>
        <v>137500</v>
      </c>
      <c r="AG132" s="17"/>
      <c r="AH132"/>
      <c r="AI132"/>
      <c r="AJ132"/>
      <c r="AK132"/>
      <c r="AL132"/>
      <c r="AM132" s="180"/>
      <c r="AN132" s="181"/>
    </row>
    <row r="133" spans="1:42" s="12" customFormat="1" ht="146.25" hidden="1" x14ac:dyDescent="2.1">
      <c r="B133" s="13" t="s">
        <v>151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13">
        <v>0</v>
      </c>
      <c r="AA133" s="14">
        <f t="shared" si="32"/>
        <v>0</v>
      </c>
      <c r="AB133" s="14">
        <f t="shared" si="33"/>
        <v>0</v>
      </c>
      <c r="AC133" s="13" t="s">
        <v>151</v>
      </c>
      <c r="AD133" s="161"/>
      <c r="AE133" s="162"/>
      <c r="AF133" s="16">
        <f t="shared" si="34"/>
        <v>0</v>
      </c>
      <c r="AG133" s="17"/>
      <c r="AH133" s="26"/>
      <c r="AI133" s="27"/>
      <c r="AJ133" s="27"/>
      <c r="AK133" s="27"/>
      <c r="AL133" s="28"/>
      <c r="AM133" s="180"/>
      <c r="AN133" s="181"/>
    </row>
    <row r="134" spans="1:42" s="12" customFormat="1" ht="146.25" hidden="1" x14ac:dyDescent="2.1">
      <c r="B134" s="13" t="s">
        <v>152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13">
        <v>0</v>
      </c>
      <c r="AA134" s="14">
        <f t="shared" si="32"/>
        <v>0</v>
      </c>
      <c r="AB134" s="14">
        <f t="shared" si="33"/>
        <v>0</v>
      </c>
      <c r="AC134" s="13" t="s">
        <v>152</v>
      </c>
      <c r="AD134" s="161"/>
      <c r="AE134" s="162"/>
      <c r="AF134" s="16">
        <f t="shared" si="34"/>
        <v>0</v>
      </c>
      <c r="AG134" s="17"/>
      <c r="AH134" s="26"/>
      <c r="AI134" s="27"/>
      <c r="AJ134" s="27"/>
      <c r="AK134" s="27"/>
      <c r="AL134" s="28"/>
      <c r="AM134" s="180"/>
      <c r="AN134" s="181"/>
    </row>
    <row r="135" spans="1:42" s="12" customFormat="1" ht="147" hidden="1" thickBot="1" x14ac:dyDescent="2.15">
      <c r="B135" s="13" t="s">
        <v>153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13">
        <v>0</v>
      </c>
      <c r="AA135" s="14">
        <f t="shared" si="32"/>
        <v>0</v>
      </c>
      <c r="AB135" s="14">
        <f t="shared" si="33"/>
        <v>0</v>
      </c>
      <c r="AC135" s="13" t="s">
        <v>153</v>
      </c>
      <c r="AD135" s="161"/>
      <c r="AE135" s="162"/>
      <c r="AF135" s="16">
        <f t="shared" si="34"/>
        <v>0</v>
      </c>
      <c r="AG135" s="17"/>
      <c r="AH135" s="83"/>
      <c r="AI135" s="84"/>
      <c r="AJ135" s="84"/>
      <c r="AK135" s="84"/>
      <c r="AL135" s="85"/>
      <c r="AM135" s="180"/>
      <c r="AN135" s="181"/>
    </row>
    <row r="136" spans="1:42" s="12" customFormat="1" ht="113.25" customHeight="1" thickBot="1" x14ac:dyDescent="2.15">
      <c r="B136" s="13"/>
      <c r="C136" s="30">
        <f>SUM(C126:C135)</f>
        <v>0</v>
      </c>
      <c r="D136" s="30">
        <f t="shared" ref="D136:Y136" si="37">SUM(D126:D135)</f>
        <v>0</v>
      </c>
      <c r="E136" s="30">
        <f t="shared" si="37"/>
        <v>0</v>
      </c>
      <c r="F136" s="30">
        <f t="shared" si="37"/>
        <v>0</v>
      </c>
      <c r="G136" s="30">
        <f t="shared" si="37"/>
        <v>0</v>
      </c>
      <c r="H136" s="30">
        <f t="shared" si="37"/>
        <v>0</v>
      </c>
      <c r="I136" s="30">
        <f t="shared" si="37"/>
        <v>0</v>
      </c>
      <c r="J136" s="30">
        <f t="shared" si="37"/>
        <v>0</v>
      </c>
      <c r="K136" s="30">
        <f t="shared" si="37"/>
        <v>0</v>
      </c>
      <c r="L136" s="30">
        <f t="shared" si="37"/>
        <v>0</v>
      </c>
      <c r="M136" s="30">
        <f t="shared" si="37"/>
        <v>0</v>
      </c>
      <c r="N136" s="30">
        <f t="shared" si="37"/>
        <v>0</v>
      </c>
      <c r="O136" s="30">
        <f t="shared" si="37"/>
        <v>0</v>
      </c>
      <c r="P136" s="30">
        <f t="shared" si="37"/>
        <v>0</v>
      </c>
      <c r="Q136" s="30">
        <f t="shared" si="37"/>
        <v>0</v>
      </c>
      <c r="R136" s="30">
        <f t="shared" si="37"/>
        <v>0</v>
      </c>
      <c r="S136" s="30">
        <f t="shared" si="37"/>
        <v>0</v>
      </c>
      <c r="T136" s="30">
        <f t="shared" si="37"/>
        <v>0</v>
      </c>
      <c r="U136" s="30">
        <f t="shared" si="37"/>
        <v>0</v>
      </c>
      <c r="V136" s="30">
        <f t="shared" si="37"/>
        <v>0</v>
      </c>
      <c r="W136" s="30">
        <f t="shared" si="37"/>
        <v>0</v>
      </c>
      <c r="X136" s="30">
        <f t="shared" si="37"/>
        <v>1</v>
      </c>
      <c r="Y136" s="30">
        <f t="shared" si="37"/>
        <v>1</v>
      </c>
      <c r="Z136" s="114">
        <v>0</v>
      </c>
      <c r="AA136" s="14"/>
      <c r="AB136" s="14"/>
      <c r="AC136" s="13"/>
      <c r="AD136" s="163"/>
      <c r="AE136" s="164"/>
      <c r="AF136" s="16">
        <f t="shared" si="34"/>
        <v>0</v>
      </c>
      <c r="AG136" s="17"/>
      <c r="AH136" s="182" t="s">
        <v>154</v>
      </c>
      <c r="AI136" s="183"/>
      <c r="AJ136" s="183"/>
      <c r="AK136" s="183"/>
      <c r="AL136" s="183"/>
      <c r="AM136" s="180"/>
      <c r="AN136" s="181"/>
    </row>
    <row r="137" spans="1:42" s="12" customFormat="1" ht="146.25" x14ac:dyDescent="2.1">
      <c r="B137" s="13" t="s">
        <v>155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13">
        <v>0</v>
      </c>
      <c r="AA137" s="14">
        <f t="shared" si="32"/>
        <v>0</v>
      </c>
      <c r="AB137" s="14">
        <f t="shared" si="33"/>
        <v>0</v>
      </c>
      <c r="AC137" s="13" t="s">
        <v>155</v>
      </c>
      <c r="AD137" s="154"/>
      <c r="AE137" s="155"/>
      <c r="AF137" s="16">
        <f>Z137</f>
        <v>0</v>
      </c>
      <c r="AG137" s="17"/>
      <c r="AH137" s="184">
        <f>AF137</f>
        <v>0</v>
      </c>
      <c r="AI137" s="183"/>
      <c r="AJ137" s="183"/>
      <c r="AK137" s="183"/>
      <c r="AL137" s="183"/>
      <c r="AM137" s="180"/>
      <c r="AN137" s="181"/>
    </row>
    <row r="138" spans="1:42" s="88" customFormat="1" ht="108" customHeight="1" x14ac:dyDescent="2.35">
      <c r="A138"/>
      <c r="B138" s="86" t="s">
        <v>156</v>
      </c>
      <c r="C138" s="142" t="s">
        <v>2</v>
      </c>
      <c r="D138" s="143"/>
      <c r="E138" s="142" t="s">
        <v>3</v>
      </c>
      <c r="F138" s="143"/>
      <c r="G138" s="142" t="s">
        <v>4</v>
      </c>
      <c r="H138" s="143"/>
      <c r="I138" s="142" t="s">
        <v>5</v>
      </c>
      <c r="J138" s="143"/>
      <c r="K138" s="142" t="s">
        <v>6</v>
      </c>
      <c r="L138" s="143"/>
      <c r="M138" s="142" t="s">
        <v>7</v>
      </c>
      <c r="N138" s="143"/>
      <c r="O138" s="142" t="s">
        <v>8</v>
      </c>
      <c r="P138" s="143"/>
      <c r="Q138" s="142" t="s">
        <v>9</v>
      </c>
      <c r="R138" s="143"/>
      <c r="S138" s="142" t="s">
        <v>10</v>
      </c>
      <c r="T138" s="143"/>
      <c r="U138" s="142" t="s">
        <v>11</v>
      </c>
      <c r="V138" s="143"/>
      <c r="W138" s="142" t="s">
        <v>12</v>
      </c>
      <c r="X138" s="143"/>
      <c r="Y138" s="9" t="s">
        <v>13</v>
      </c>
      <c r="Z138" s="119"/>
      <c r="AA138" s="49" t="s">
        <v>14</v>
      </c>
      <c r="AB138" s="49" t="s">
        <v>15</v>
      </c>
      <c r="AC138" s="86" t="s">
        <v>156</v>
      </c>
      <c r="AD138" s="157"/>
      <c r="AE138" s="158"/>
      <c r="AF138" s="6" t="s">
        <v>17</v>
      </c>
      <c r="AG138" s="7"/>
      <c r="AH138" s="2"/>
      <c r="AI138" s="2"/>
      <c r="AJ138" s="2"/>
      <c r="AK138" s="2"/>
      <c r="AL138" s="2"/>
      <c r="AM138" s="87"/>
      <c r="AN138" s="87"/>
      <c r="AO138" s="47"/>
      <c r="AP138" s="47"/>
    </row>
    <row r="139" spans="1:42" s="47" customFormat="1" ht="112.5" customHeight="1" x14ac:dyDescent="2.35">
      <c r="A139" s="12"/>
      <c r="B139" s="13" t="s">
        <v>157</v>
      </c>
      <c r="C139" s="14">
        <v>0</v>
      </c>
      <c r="D139" s="14">
        <v>3</v>
      </c>
      <c r="E139" s="14">
        <v>1</v>
      </c>
      <c r="F139" s="14">
        <v>5</v>
      </c>
      <c r="G139" s="14">
        <v>0</v>
      </c>
      <c r="H139" s="14">
        <v>4</v>
      </c>
      <c r="I139" s="14">
        <v>0</v>
      </c>
      <c r="J139" s="14">
        <v>5</v>
      </c>
      <c r="K139" s="14">
        <v>0</v>
      </c>
      <c r="L139" s="14">
        <v>2</v>
      </c>
      <c r="M139" s="14">
        <v>0</v>
      </c>
      <c r="N139" s="14">
        <v>0</v>
      </c>
      <c r="O139" s="14">
        <v>5</v>
      </c>
      <c r="P139" s="14">
        <v>1</v>
      </c>
      <c r="Q139" s="14">
        <v>0</v>
      </c>
      <c r="R139" s="14">
        <v>3</v>
      </c>
      <c r="S139" s="14">
        <v>2</v>
      </c>
      <c r="T139" s="14">
        <v>1</v>
      </c>
      <c r="U139" s="14">
        <v>0</v>
      </c>
      <c r="V139" s="14">
        <v>5</v>
      </c>
      <c r="W139" s="14">
        <v>0</v>
      </c>
      <c r="X139" s="14">
        <v>4</v>
      </c>
      <c r="Y139" s="14">
        <v>0</v>
      </c>
      <c r="Z139" s="113">
        <v>87200</v>
      </c>
      <c r="AA139" s="14">
        <f t="shared" si="32"/>
        <v>8</v>
      </c>
      <c r="AB139" s="14">
        <f t="shared" si="33"/>
        <v>33</v>
      </c>
      <c r="AC139" s="13" t="s">
        <v>157</v>
      </c>
      <c r="AD139" s="176">
        <f>SUM(AA139:AA140)</f>
        <v>20</v>
      </c>
      <c r="AE139" s="177"/>
      <c r="AF139" s="16">
        <f>Z139</f>
        <v>87200</v>
      </c>
      <c r="AG139" s="17"/>
      <c r="AH139" s="2"/>
      <c r="AI139" s="2"/>
      <c r="AJ139" s="2"/>
      <c r="AK139" s="2"/>
      <c r="AL139" s="2"/>
      <c r="AM139" s="87"/>
      <c r="AN139" s="87"/>
    </row>
    <row r="140" spans="1:42" s="47" customFormat="1" ht="112.5" customHeight="1" x14ac:dyDescent="2.35">
      <c r="A140" s="12"/>
      <c r="B140" s="13" t="s">
        <v>158</v>
      </c>
      <c r="C140" s="14">
        <v>0</v>
      </c>
      <c r="D140" s="14">
        <v>3</v>
      </c>
      <c r="E140" s="14">
        <v>4</v>
      </c>
      <c r="F140" s="14">
        <v>3</v>
      </c>
      <c r="G140" s="14">
        <v>1</v>
      </c>
      <c r="H140" s="14">
        <v>2</v>
      </c>
      <c r="I140" s="14">
        <v>2</v>
      </c>
      <c r="J140" s="14">
        <v>3</v>
      </c>
      <c r="K140" s="14">
        <v>0</v>
      </c>
      <c r="L140" s="14">
        <v>1</v>
      </c>
      <c r="M140" s="14">
        <v>0</v>
      </c>
      <c r="N140" s="14">
        <v>1</v>
      </c>
      <c r="O140" s="14">
        <v>1</v>
      </c>
      <c r="P140" s="14">
        <v>4</v>
      </c>
      <c r="Q140" s="14">
        <v>0</v>
      </c>
      <c r="R140" s="14">
        <v>5</v>
      </c>
      <c r="S140" s="14">
        <v>2</v>
      </c>
      <c r="T140" s="14">
        <v>1</v>
      </c>
      <c r="U140" s="14">
        <v>0</v>
      </c>
      <c r="V140" s="14">
        <v>4</v>
      </c>
      <c r="W140" s="14">
        <v>2</v>
      </c>
      <c r="X140" s="14">
        <v>3</v>
      </c>
      <c r="Y140" s="14">
        <v>0</v>
      </c>
      <c r="Z140" s="113">
        <v>147600</v>
      </c>
      <c r="AA140" s="14">
        <f t="shared" si="32"/>
        <v>12</v>
      </c>
      <c r="AB140" s="14">
        <f t="shared" si="33"/>
        <v>30</v>
      </c>
      <c r="AC140" s="13" t="s">
        <v>158</v>
      </c>
      <c r="AD140" s="178"/>
      <c r="AE140" s="179"/>
      <c r="AF140" s="16">
        <f>Z140</f>
        <v>147600</v>
      </c>
      <c r="AG140" s="17"/>
      <c r="AH140" s="2"/>
      <c r="AI140" s="2"/>
      <c r="AJ140" s="2"/>
      <c r="AK140" s="2"/>
      <c r="AL140" s="2"/>
      <c r="AM140" s="89"/>
      <c r="AN140" s="89"/>
      <c r="AO140" s="88"/>
      <c r="AP140" s="88"/>
    </row>
    <row r="141" spans="1:42" s="88" customFormat="1" ht="108" customHeight="1" x14ac:dyDescent="2.35">
      <c r="A141"/>
      <c r="B141" s="86" t="s">
        <v>159</v>
      </c>
      <c r="C141" s="142" t="s">
        <v>2</v>
      </c>
      <c r="D141" s="143"/>
      <c r="E141" s="142" t="s">
        <v>3</v>
      </c>
      <c r="F141" s="143"/>
      <c r="G141" s="142" t="s">
        <v>4</v>
      </c>
      <c r="H141" s="143"/>
      <c r="I141" s="142" t="s">
        <v>5</v>
      </c>
      <c r="J141" s="143"/>
      <c r="K141" s="142" t="s">
        <v>6</v>
      </c>
      <c r="L141" s="143"/>
      <c r="M141" s="142" t="s">
        <v>7</v>
      </c>
      <c r="N141" s="143"/>
      <c r="O141" s="142" t="s">
        <v>8</v>
      </c>
      <c r="P141" s="143"/>
      <c r="Q141" s="142" t="s">
        <v>9</v>
      </c>
      <c r="R141" s="143"/>
      <c r="S141" s="142" t="s">
        <v>10</v>
      </c>
      <c r="T141" s="143"/>
      <c r="U141" s="142" t="s">
        <v>11</v>
      </c>
      <c r="V141" s="143"/>
      <c r="W141" s="142" t="s">
        <v>12</v>
      </c>
      <c r="X141" s="143"/>
      <c r="Y141" s="9" t="s">
        <v>13</v>
      </c>
      <c r="Z141" s="119"/>
      <c r="AA141" s="49" t="s">
        <v>14</v>
      </c>
      <c r="AB141" s="49" t="s">
        <v>15</v>
      </c>
      <c r="AC141" s="86" t="s">
        <v>159</v>
      </c>
      <c r="AD141" s="157"/>
      <c r="AE141" s="158"/>
      <c r="AF141" s="6" t="s">
        <v>17</v>
      </c>
      <c r="AG141" s="7"/>
      <c r="AH141" s="2"/>
      <c r="AI141" s="2"/>
      <c r="AJ141" s="2"/>
      <c r="AK141" s="2"/>
      <c r="AL141" s="2"/>
      <c r="AM141" s="87"/>
      <c r="AN141" s="87"/>
      <c r="AO141" s="47"/>
      <c r="AP141" s="47"/>
    </row>
    <row r="142" spans="1:42" s="47" customFormat="1" ht="116.25" customHeight="1" x14ac:dyDescent="2.35">
      <c r="A142" s="12"/>
      <c r="B142" s="13" t="s">
        <v>160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2</v>
      </c>
      <c r="S142" s="14">
        <v>8</v>
      </c>
      <c r="T142" s="14">
        <v>8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13">
        <v>27000</v>
      </c>
      <c r="AA142" s="14">
        <f t="shared" si="32"/>
        <v>8</v>
      </c>
      <c r="AB142" s="14">
        <f t="shared" si="33"/>
        <v>11</v>
      </c>
      <c r="AC142" s="13" t="s">
        <v>160</v>
      </c>
      <c r="AD142" s="159">
        <f>SUM(AA142:AA152)</f>
        <v>16</v>
      </c>
      <c r="AE142" s="160"/>
      <c r="AF142" s="16">
        <f>Z142</f>
        <v>27000</v>
      </c>
      <c r="AG142" s="17"/>
      <c r="AH142" s="2"/>
      <c r="AI142" s="2"/>
      <c r="AJ142" s="2"/>
      <c r="AK142" s="2"/>
      <c r="AL142" s="2"/>
      <c r="AM142" s="87"/>
      <c r="AN142" s="87"/>
    </row>
    <row r="143" spans="1:42" s="47" customFormat="1" ht="116.25" hidden="1" customHeight="1" x14ac:dyDescent="2.35">
      <c r="A143" s="12"/>
      <c r="B143" s="13" t="s">
        <v>159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13">
        <v>0</v>
      </c>
      <c r="AA143" s="14">
        <f t="shared" si="32"/>
        <v>0</v>
      </c>
      <c r="AB143" s="14">
        <f t="shared" si="33"/>
        <v>0</v>
      </c>
      <c r="AC143" s="13" t="s">
        <v>159</v>
      </c>
      <c r="AD143" s="161"/>
      <c r="AE143" s="162"/>
      <c r="AF143" s="16">
        <f t="shared" ref="AF143:AF152" si="38">Z143</f>
        <v>0</v>
      </c>
      <c r="AG143" s="17"/>
      <c r="AH143" s="2"/>
      <c r="AI143" s="2"/>
      <c r="AJ143" s="2"/>
      <c r="AK143" s="2"/>
      <c r="AL143" s="2"/>
      <c r="AM143" s="87"/>
      <c r="AN143" s="87"/>
    </row>
    <row r="144" spans="1:42" s="47" customFormat="1" hidden="1" x14ac:dyDescent="2.35">
      <c r="A144" s="12"/>
      <c r="B144" s="13" t="s">
        <v>161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13">
        <v>0</v>
      </c>
      <c r="AA144" s="14">
        <f t="shared" si="32"/>
        <v>0</v>
      </c>
      <c r="AB144" s="14">
        <f t="shared" si="33"/>
        <v>0</v>
      </c>
      <c r="AC144" s="13" t="s">
        <v>161</v>
      </c>
      <c r="AD144" s="161"/>
      <c r="AE144" s="162"/>
      <c r="AF144" s="16">
        <f t="shared" si="38"/>
        <v>0</v>
      </c>
      <c r="AG144" s="17"/>
      <c r="AH144" s="2"/>
      <c r="AI144" s="2"/>
      <c r="AJ144" s="2"/>
      <c r="AK144" s="2"/>
      <c r="AL144" s="2"/>
      <c r="AM144" s="87"/>
      <c r="AN144" s="87"/>
    </row>
    <row r="145" spans="1:42" s="47" customFormat="1" ht="116.25" hidden="1" customHeight="1" x14ac:dyDescent="2.35">
      <c r="A145" s="12"/>
      <c r="B145" s="13" t="s">
        <v>162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13">
        <v>0</v>
      </c>
      <c r="AA145" s="14">
        <f t="shared" si="32"/>
        <v>0</v>
      </c>
      <c r="AB145" s="14">
        <f t="shared" si="33"/>
        <v>0</v>
      </c>
      <c r="AC145" s="13" t="s">
        <v>162</v>
      </c>
      <c r="AD145" s="161"/>
      <c r="AE145" s="162"/>
      <c r="AF145" s="16">
        <f t="shared" si="38"/>
        <v>0</v>
      </c>
      <c r="AG145" s="17"/>
      <c r="AH145" s="2"/>
      <c r="AI145" s="2"/>
      <c r="AJ145" s="2"/>
      <c r="AK145" s="2"/>
      <c r="AL145" s="2"/>
      <c r="AM145" s="87"/>
      <c r="AN145" s="87"/>
    </row>
    <row r="146" spans="1:42" s="47" customFormat="1" ht="116.25" customHeight="1" x14ac:dyDescent="2.35">
      <c r="A146" s="12"/>
      <c r="B146" s="13" t="s">
        <v>163</v>
      </c>
      <c r="C146" s="14">
        <v>0</v>
      </c>
      <c r="D146" s="14">
        <v>2</v>
      </c>
      <c r="E146" s="14">
        <v>0</v>
      </c>
      <c r="F146" s="14">
        <v>1</v>
      </c>
      <c r="G146" s="14">
        <v>0</v>
      </c>
      <c r="H146" s="14">
        <v>3</v>
      </c>
      <c r="I146" s="14">
        <v>1</v>
      </c>
      <c r="J146" s="14">
        <v>1</v>
      </c>
      <c r="K146" s="14">
        <v>0</v>
      </c>
      <c r="L146" s="14">
        <v>3</v>
      </c>
      <c r="M146" s="14">
        <v>0</v>
      </c>
      <c r="N146" s="14">
        <v>0</v>
      </c>
      <c r="O146" s="14">
        <v>1</v>
      </c>
      <c r="P146" s="14">
        <v>2</v>
      </c>
      <c r="Q146" s="14">
        <v>0</v>
      </c>
      <c r="R146" s="14">
        <v>3</v>
      </c>
      <c r="S146" s="14">
        <v>0</v>
      </c>
      <c r="T146" s="14">
        <v>1</v>
      </c>
      <c r="U146" s="14">
        <v>0</v>
      </c>
      <c r="V146" s="14">
        <v>3</v>
      </c>
      <c r="W146" s="14">
        <v>2</v>
      </c>
      <c r="X146" s="14">
        <v>2</v>
      </c>
      <c r="Y146" s="14">
        <v>0</v>
      </c>
      <c r="Z146" s="113">
        <v>46400</v>
      </c>
      <c r="AA146" s="14">
        <f t="shared" si="32"/>
        <v>4</v>
      </c>
      <c r="AB146" s="14">
        <f t="shared" si="33"/>
        <v>21</v>
      </c>
      <c r="AC146" s="13" t="s">
        <v>163</v>
      </c>
      <c r="AD146" s="161"/>
      <c r="AE146" s="162"/>
      <c r="AF146" s="16">
        <f t="shared" si="38"/>
        <v>46400</v>
      </c>
      <c r="AG146" s="17"/>
      <c r="AH146" s="2"/>
      <c r="AI146" s="2"/>
      <c r="AJ146" s="2"/>
      <c r="AK146" s="2"/>
      <c r="AL146" s="2"/>
      <c r="AM146" s="87"/>
      <c r="AN146" s="87"/>
    </row>
    <row r="147" spans="1:42" s="47" customFormat="1" ht="116.25" customHeight="1" x14ac:dyDescent="2.35">
      <c r="A147" s="12"/>
      <c r="B147" s="13" t="s">
        <v>164</v>
      </c>
      <c r="C147" s="14">
        <v>0</v>
      </c>
      <c r="D147" s="14">
        <v>2</v>
      </c>
      <c r="E147" s="14">
        <v>0</v>
      </c>
      <c r="F147" s="14">
        <v>1</v>
      </c>
      <c r="G147" s="14">
        <v>0</v>
      </c>
      <c r="H147" s="14">
        <v>2</v>
      </c>
      <c r="I147" s="14">
        <v>0</v>
      </c>
      <c r="J147" s="14">
        <v>0</v>
      </c>
      <c r="K147" s="14">
        <v>0</v>
      </c>
      <c r="L147" s="14">
        <v>4</v>
      </c>
      <c r="M147" s="14">
        <v>0</v>
      </c>
      <c r="N147" s="14">
        <v>0</v>
      </c>
      <c r="O147" s="14">
        <v>0</v>
      </c>
      <c r="P147" s="14">
        <v>3</v>
      </c>
      <c r="Q147" s="14">
        <v>1</v>
      </c>
      <c r="R147" s="14">
        <v>2</v>
      </c>
      <c r="S147" s="14">
        <v>0</v>
      </c>
      <c r="T147" s="14">
        <v>1</v>
      </c>
      <c r="U147" s="14">
        <v>1</v>
      </c>
      <c r="V147" s="14">
        <v>3</v>
      </c>
      <c r="W147" s="14">
        <v>0</v>
      </c>
      <c r="X147" s="14">
        <v>0</v>
      </c>
      <c r="Y147" s="14">
        <v>0</v>
      </c>
      <c r="Z147" s="113">
        <v>23200</v>
      </c>
      <c r="AA147" s="14">
        <f t="shared" si="32"/>
        <v>2</v>
      </c>
      <c r="AB147" s="14">
        <f t="shared" si="33"/>
        <v>18</v>
      </c>
      <c r="AC147" s="13" t="s">
        <v>164</v>
      </c>
      <c r="AD147" s="161"/>
      <c r="AE147" s="162"/>
      <c r="AF147" s="16">
        <f t="shared" si="38"/>
        <v>23200</v>
      </c>
      <c r="AG147" s="17"/>
      <c r="AH147" s="2"/>
      <c r="AI147" s="2"/>
      <c r="AJ147" s="2"/>
      <c r="AK147" s="2"/>
      <c r="AL147" s="2"/>
      <c r="AM147" s="87"/>
      <c r="AN147" s="87"/>
    </row>
    <row r="148" spans="1:42" s="47" customFormat="1" ht="116.25" customHeight="1" x14ac:dyDescent="2.35">
      <c r="A148" s="12"/>
      <c r="B148" s="13" t="s">
        <v>165</v>
      </c>
      <c r="C148" s="14">
        <v>0</v>
      </c>
      <c r="D148" s="14">
        <v>1</v>
      </c>
      <c r="E148" s="14">
        <v>0</v>
      </c>
      <c r="F148" s="14">
        <v>0</v>
      </c>
      <c r="G148" s="14">
        <v>0</v>
      </c>
      <c r="H148" s="14">
        <v>1</v>
      </c>
      <c r="I148" s="14">
        <v>0</v>
      </c>
      <c r="J148" s="14">
        <v>0</v>
      </c>
      <c r="K148" s="14">
        <v>0</v>
      </c>
      <c r="L148" s="14">
        <v>2</v>
      </c>
      <c r="M148" s="14">
        <v>0</v>
      </c>
      <c r="N148" s="14">
        <v>1</v>
      </c>
      <c r="O148" s="14">
        <v>0</v>
      </c>
      <c r="P148" s="14">
        <v>2</v>
      </c>
      <c r="Q148" s="14">
        <v>0</v>
      </c>
      <c r="R148" s="14">
        <v>3</v>
      </c>
      <c r="S148" s="14">
        <v>0</v>
      </c>
      <c r="T148" s="14">
        <v>1</v>
      </c>
      <c r="U148" s="14">
        <v>0</v>
      </c>
      <c r="V148" s="14">
        <v>4</v>
      </c>
      <c r="W148" s="14">
        <v>0</v>
      </c>
      <c r="X148" s="14">
        <v>0</v>
      </c>
      <c r="Y148" s="14">
        <v>0</v>
      </c>
      <c r="Z148" s="113">
        <v>0</v>
      </c>
      <c r="AA148" s="14">
        <f t="shared" si="32"/>
        <v>0</v>
      </c>
      <c r="AB148" s="14">
        <f t="shared" si="33"/>
        <v>15</v>
      </c>
      <c r="AC148" s="13" t="s">
        <v>165</v>
      </c>
      <c r="AD148" s="161"/>
      <c r="AE148" s="162"/>
      <c r="AF148" s="16">
        <f t="shared" si="38"/>
        <v>0</v>
      </c>
      <c r="AG148" s="17"/>
      <c r="AH148" s="2"/>
      <c r="AI148" s="2"/>
      <c r="AJ148" s="2"/>
      <c r="AK148" s="2"/>
      <c r="AL148" s="2"/>
      <c r="AM148" s="87"/>
      <c r="AN148" s="87"/>
    </row>
    <row r="149" spans="1:42" s="47" customFormat="1" ht="116.25" customHeight="1" x14ac:dyDescent="2.35">
      <c r="A149" s="12"/>
      <c r="B149" s="13" t="s">
        <v>166</v>
      </c>
      <c r="C149" s="14">
        <v>0</v>
      </c>
      <c r="D149" s="14">
        <v>2</v>
      </c>
      <c r="E149" s="14">
        <v>0</v>
      </c>
      <c r="F149" s="14">
        <v>3</v>
      </c>
      <c r="G149" s="14">
        <v>0</v>
      </c>
      <c r="H149" s="14">
        <v>2</v>
      </c>
      <c r="I149" s="14">
        <v>0</v>
      </c>
      <c r="J149" s="14">
        <v>1</v>
      </c>
      <c r="K149" s="14">
        <v>0</v>
      </c>
      <c r="L149" s="14">
        <v>3</v>
      </c>
      <c r="M149" s="14">
        <v>0</v>
      </c>
      <c r="N149" s="14">
        <v>0</v>
      </c>
      <c r="O149" s="14">
        <v>0</v>
      </c>
      <c r="P149" s="14">
        <v>3</v>
      </c>
      <c r="Q149" s="14">
        <v>0</v>
      </c>
      <c r="R149" s="14">
        <v>3</v>
      </c>
      <c r="S149" s="14">
        <v>0</v>
      </c>
      <c r="T149" s="14">
        <v>2</v>
      </c>
      <c r="U149" s="14">
        <v>0</v>
      </c>
      <c r="V149" s="14">
        <v>3</v>
      </c>
      <c r="W149" s="14">
        <v>0</v>
      </c>
      <c r="X149" s="14">
        <v>3</v>
      </c>
      <c r="Y149" s="14">
        <v>0</v>
      </c>
      <c r="Z149" s="113">
        <v>0</v>
      </c>
      <c r="AA149" s="14">
        <f t="shared" si="32"/>
        <v>0</v>
      </c>
      <c r="AB149" s="14">
        <f t="shared" si="33"/>
        <v>25</v>
      </c>
      <c r="AC149" s="13" t="s">
        <v>166</v>
      </c>
      <c r="AD149" s="161"/>
      <c r="AE149" s="162"/>
      <c r="AF149" s="16">
        <f t="shared" si="38"/>
        <v>0</v>
      </c>
      <c r="AG149" s="17"/>
      <c r="AH149" s="2"/>
      <c r="AI149" s="2"/>
      <c r="AJ149" s="2"/>
      <c r="AK149" s="2"/>
      <c r="AL149" s="2"/>
      <c r="AM149" s="87"/>
      <c r="AN149" s="87"/>
    </row>
    <row r="150" spans="1:42" s="47" customFormat="1" x14ac:dyDescent="2.35">
      <c r="A150" s="12"/>
      <c r="B150" s="13" t="s">
        <v>167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13">
        <v>0</v>
      </c>
      <c r="AA150" s="14">
        <f t="shared" si="32"/>
        <v>0</v>
      </c>
      <c r="AB150" s="14">
        <f t="shared" si="33"/>
        <v>0</v>
      </c>
      <c r="AC150" s="13" t="s">
        <v>167</v>
      </c>
      <c r="AD150" s="161"/>
      <c r="AE150" s="162"/>
      <c r="AF150" s="16">
        <f t="shared" si="38"/>
        <v>0</v>
      </c>
      <c r="AG150" s="17"/>
      <c r="AH150" s="2"/>
      <c r="AI150" s="2"/>
      <c r="AJ150" s="2"/>
      <c r="AK150" s="2"/>
      <c r="AL150" s="2"/>
      <c r="AM150" s="87"/>
      <c r="AN150" s="87"/>
    </row>
    <row r="151" spans="1:42" s="47" customFormat="1" x14ac:dyDescent="2.35">
      <c r="A151" s="12"/>
      <c r="B151" s="13" t="s">
        <v>168</v>
      </c>
      <c r="C151" s="14">
        <v>0</v>
      </c>
      <c r="D151" s="14">
        <v>0</v>
      </c>
      <c r="E151" s="14">
        <v>0</v>
      </c>
      <c r="F151" s="14">
        <v>0</v>
      </c>
      <c r="G151" s="14">
        <v>1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1</v>
      </c>
      <c r="X151" s="14">
        <v>0</v>
      </c>
      <c r="Y151" s="14">
        <v>0</v>
      </c>
      <c r="Z151" s="113">
        <v>59400</v>
      </c>
      <c r="AA151" s="14">
        <f t="shared" si="32"/>
        <v>2</v>
      </c>
      <c r="AB151" s="14">
        <f t="shared" si="33"/>
        <v>0</v>
      </c>
      <c r="AC151" s="13" t="s">
        <v>169</v>
      </c>
      <c r="AD151" s="161"/>
      <c r="AE151" s="162"/>
      <c r="AF151" s="16">
        <f t="shared" si="38"/>
        <v>59400</v>
      </c>
      <c r="AG151" s="17"/>
      <c r="AH151" s="2"/>
      <c r="AI151" s="2"/>
      <c r="AJ151" s="2"/>
      <c r="AK151" s="2"/>
      <c r="AL151" s="2"/>
      <c r="AM151" s="87"/>
      <c r="AN151" s="87"/>
    </row>
    <row r="152" spans="1:42" s="47" customFormat="1" ht="116.25" customHeight="1" x14ac:dyDescent="2.35">
      <c r="A152" s="12"/>
      <c r="B152" s="13" t="s">
        <v>170</v>
      </c>
      <c r="C152" s="14">
        <v>0</v>
      </c>
      <c r="D152" s="14">
        <v>1</v>
      </c>
      <c r="E152" s="14">
        <v>0</v>
      </c>
      <c r="F152" s="14">
        <v>2</v>
      </c>
      <c r="G152" s="14">
        <v>0</v>
      </c>
      <c r="H152" s="14">
        <v>1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2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1</v>
      </c>
      <c r="Y152" s="14">
        <v>0</v>
      </c>
      <c r="Z152" s="113">
        <v>0</v>
      </c>
      <c r="AA152" s="14">
        <f t="shared" si="32"/>
        <v>0</v>
      </c>
      <c r="AB152" s="14">
        <f t="shared" si="33"/>
        <v>7</v>
      </c>
      <c r="AC152" s="13" t="s">
        <v>170</v>
      </c>
      <c r="AD152" s="163"/>
      <c r="AE152" s="164"/>
      <c r="AF152" s="16">
        <f t="shared" si="38"/>
        <v>0</v>
      </c>
      <c r="AG152" s="17"/>
      <c r="AH152" s="2"/>
      <c r="AI152" s="2"/>
      <c r="AJ152" s="2"/>
      <c r="AK152" s="2"/>
      <c r="AL152" s="2"/>
      <c r="AM152" s="90"/>
      <c r="AN152" s="90"/>
      <c r="AO152" s="91"/>
      <c r="AP152" s="88"/>
    </row>
    <row r="153" spans="1:42" s="12" customFormat="1" ht="113.25" customHeight="1" x14ac:dyDescent="2.1">
      <c r="B153" s="13"/>
      <c r="C153" s="30">
        <f t="shared" ref="C153:Y153" si="39">SUM(C142:C152)</f>
        <v>0</v>
      </c>
      <c r="D153" s="30">
        <f t="shared" si="39"/>
        <v>8</v>
      </c>
      <c r="E153" s="30">
        <f t="shared" si="39"/>
        <v>0</v>
      </c>
      <c r="F153" s="30">
        <f t="shared" si="39"/>
        <v>7</v>
      </c>
      <c r="G153" s="30">
        <f t="shared" si="39"/>
        <v>1</v>
      </c>
      <c r="H153" s="30">
        <f t="shared" si="39"/>
        <v>9</v>
      </c>
      <c r="I153" s="30">
        <f t="shared" si="39"/>
        <v>1</v>
      </c>
      <c r="J153" s="30">
        <f t="shared" si="39"/>
        <v>2</v>
      </c>
      <c r="K153" s="30">
        <f t="shared" si="39"/>
        <v>0</v>
      </c>
      <c r="L153" s="30">
        <f t="shared" si="39"/>
        <v>13</v>
      </c>
      <c r="M153" s="30">
        <f t="shared" si="39"/>
        <v>0</v>
      </c>
      <c r="N153" s="30">
        <f t="shared" si="39"/>
        <v>1</v>
      </c>
      <c r="O153" s="30">
        <f t="shared" si="39"/>
        <v>1</v>
      </c>
      <c r="P153" s="30">
        <f t="shared" si="39"/>
        <v>12</v>
      </c>
      <c r="Q153" s="30">
        <f t="shared" si="39"/>
        <v>1</v>
      </c>
      <c r="R153" s="30">
        <f t="shared" si="39"/>
        <v>13</v>
      </c>
      <c r="S153" s="30">
        <f t="shared" si="39"/>
        <v>8</v>
      </c>
      <c r="T153" s="30">
        <f t="shared" si="39"/>
        <v>13</v>
      </c>
      <c r="U153" s="30">
        <f t="shared" si="39"/>
        <v>1</v>
      </c>
      <c r="V153" s="30">
        <f t="shared" si="39"/>
        <v>13</v>
      </c>
      <c r="W153" s="30">
        <f t="shared" si="39"/>
        <v>3</v>
      </c>
      <c r="X153" s="30">
        <f t="shared" si="39"/>
        <v>6</v>
      </c>
      <c r="Y153" s="30">
        <f t="shared" si="39"/>
        <v>0</v>
      </c>
      <c r="Z153" s="114"/>
      <c r="AA153" s="14"/>
      <c r="AB153" s="14"/>
      <c r="AC153" s="13"/>
      <c r="AD153" s="154"/>
      <c r="AE153" s="155"/>
      <c r="AF153" s="16">
        <v>0</v>
      </c>
      <c r="AG153" s="17"/>
      <c r="AH153" s="2"/>
      <c r="AI153" s="2"/>
      <c r="AJ153" s="2"/>
      <c r="AK153" s="2"/>
      <c r="AL153" s="2"/>
      <c r="AM153" s="92"/>
      <c r="AN153" s="92"/>
    </row>
    <row r="154" spans="1:42" ht="126" customHeight="1" x14ac:dyDescent="1.85">
      <c r="B154" s="174" t="s">
        <v>211</v>
      </c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"/>
      <c r="AM154" s="92"/>
      <c r="AN154" s="92"/>
    </row>
    <row r="155" spans="1:42" s="88" customFormat="1" ht="138.75" customHeight="1" x14ac:dyDescent="2.35">
      <c r="A155"/>
      <c r="B155" s="172" t="s">
        <v>171</v>
      </c>
      <c r="C155" s="142" t="s">
        <v>2</v>
      </c>
      <c r="D155" s="143"/>
      <c r="E155" s="142" t="s">
        <v>3</v>
      </c>
      <c r="F155" s="143"/>
      <c r="G155" s="142" t="s">
        <v>4</v>
      </c>
      <c r="H155" s="143"/>
      <c r="I155" s="142" t="s">
        <v>5</v>
      </c>
      <c r="J155" s="143"/>
      <c r="K155" s="142" t="s">
        <v>6</v>
      </c>
      <c r="L155" s="143"/>
      <c r="M155" s="142" t="s">
        <v>7</v>
      </c>
      <c r="N155" s="143"/>
      <c r="O155" s="142" t="s">
        <v>8</v>
      </c>
      <c r="P155" s="143"/>
      <c r="Q155" s="142" t="s">
        <v>9</v>
      </c>
      <c r="R155" s="143"/>
      <c r="S155" s="142" t="s">
        <v>10</v>
      </c>
      <c r="T155" s="143"/>
      <c r="U155" s="142" t="s">
        <v>11</v>
      </c>
      <c r="V155" s="143"/>
      <c r="W155" s="142" t="s">
        <v>12</v>
      </c>
      <c r="X155" s="143"/>
      <c r="Y155" s="172" t="s">
        <v>13</v>
      </c>
      <c r="Z155" s="111"/>
      <c r="AA155" s="172" t="s">
        <v>14</v>
      </c>
      <c r="AB155" s="172" t="s">
        <v>15</v>
      </c>
      <c r="AC155" s="172" t="s">
        <v>171</v>
      </c>
      <c r="AD155" s="157"/>
      <c r="AE155" s="158"/>
      <c r="AF155" s="6" t="s">
        <v>17</v>
      </c>
      <c r="AG155" s="7"/>
      <c r="AH155" s="2"/>
      <c r="AI155" s="2"/>
      <c r="AJ155" s="2"/>
      <c r="AK155" s="2"/>
      <c r="AL155" s="2"/>
      <c r="AM155" s="8"/>
      <c r="AN155" s="8"/>
      <c r="AO155" s="12"/>
      <c r="AP155" s="12"/>
    </row>
    <row r="156" spans="1:42" s="4" customFormat="1" ht="138" customHeight="1" x14ac:dyDescent="2.35">
      <c r="B156" s="173"/>
      <c r="C156" s="9" t="s">
        <v>18</v>
      </c>
      <c r="D156" s="9" t="s">
        <v>19</v>
      </c>
      <c r="E156" s="9" t="s">
        <v>18</v>
      </c>
      <c r="F156" s="9" t="s">
        <v>19</v>
      </c>
      <c r="G156" s="9" t="s">
        <v>18</v>
      </c>
      <c r="H156" s="9" t="s">
        <v>19</v>
      </c>
      <c r="I156" s="9" t="s">
        <v>18</v>
      </c>
      <c r="J156" s="9" t="s">
        <v>19</v>
      </c>
      <c r="K156" s="9" t="s">
        <v>18</v>
      </c>
      <c r="L156" s="9" t="s">
        <v>19</v>
      </c>
      <c r="M156" s="9" t="s">
        <v>18</v>
      </c>
      <c r="N156" s="9" t="s">
        <v>19</v>
      </c>
      <c r="O156" s="9" t="s">
        <v>18</v>
      </c>
      <c r="P156" s="9" t="s">
        <v>19</v>
      </c>
      <c r="Q156" s="9" t="s">
        <v>18</v>
      </c>
      <c r="R156" s="9" t="s">
        <v>19</v>
      </c>
      <c r="S156" s="9" t="s">
        <v>18</v>
      </c>
      <c r="T156" s="9" t="s">
        <v>19</v>
      </c>
      <c r="U156" s="9" t="s">
        <v>18</v>
      </c>
      <c r="V156" s="9" t="s">
        <v>19</v>
      </c>
      <c r="W156" s="9" t="s">
        <v>18</v>
      </c>
      <c r="X156" s="9" t="s">
        <v>19</v>
      </c>
      <c r="Y156" s="173"/>
      <c r="Z156" s="112"/>
      <c r="AA156" s="173"/>
      <c r="AB156" s="173"/>
      <c r="AC156" s="173"/>
      <c r="AD156" s="10"/>
      <c r="AE156" s="11"/>
      <c r="AF156" s="6">
        <v>0</v>
      </c>
      <c r="AG156" s="7"/>
      <c r="AH156" s="2"/>
      <c r="AI156" s="2"/>
      <c r="AJ156" s="2"/>
      <c r="AK156" s="2"/>
      <c r="AL156" s="2"/>
      <c r="AM156" s="8"/>
      <c r="AN156" s="8"/>
    </row>
    <row r="157" spans="1:42" s="12" customFormat="1" ht="110.25" customHeight="1" x14ac:dyDescent="2.35">
      <c r="B157" s="13" t="s">
        <v>172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13">
        <v>0</v>
      </c>
      <c r="AA157" s="14">
        <f>SUM(C157,E157,G157,I157,K157,M157,O157,Q157,S157,U157,W157,Y157)</f>
        <v>0</v>
      </c>
      <c r="AB157" s="14">
        <f t="shared" ref="AB157:AB162" si="40">SUM(D157,F157,H157,J157,L157,N157,P157,R157,T157,V157,X157)</f>
        <v>0</v>
      </c>
      <c r="AC157" s="13" t="s">
        <v>173</v>
      </c>
      <c r="AD157" s="159">
        <f>SUM(AA157:AA162)</f>
        <v>9</v>
      </c>
      <c r="AE157" s="160"/>
      <c r="AF157" s="16">
        <f>Z157</f>
        <v>0</v>
      </c>
      <c r="AG157" s="17"/>
      <c r="AH157" s="2"/>
      <c r="AI157" s="2"/>
      <c r="AJ157" s="2"/>
      <c r="AK157" s="2"/>
      <c r="AL157" s="2"/>
      <c r="AM157" s="8"/>
      <c r="AN157" s="8"/>
    </row>
    <row r="158" spans="1:42" s="12" customFormat="1" ht="110.25" customHeight="1" x14ac:dyDescent="2.35">
      <c r="B158" s="13" t="s">
        <v>174</v>
      </c>
      <c r="C158" s="14">
        <v>0</v>
      </c>
      <c r="D158" s="14">
        <v>0</v>
      </c>
      <c r="E158" s="14">
        <v>0</v>
      </c>
      <c r="F158" s="14">
        <v>1</v>
      </c>
      <c r="G158" s="14">
        <v>0</v>
      </c>
      <c r="H158" s="14">
        <v>1</v>
      </c>
      <c r="I158" s="14">
        <v>0</v>
      </c>
      <c r="J158" s="14">
        <v>1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1</v>
      </c>
      <c r="Q158" s="14">
        <v>0</v>
      </c>
      <c r="R158" s="14">
        <v>1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13">
        <v>0</v>
      </c>
      <c r="AA158" s="14">
        <f t="shared" ref="AA158:AA162" si="41">SUM(C158,E158,G158,I158,K158,M158,O158,Q158,S158,U158,W158,Y158)</f>
        <v>0</v>
      </c>
      <c r="AB158" s="14">
        <f t="shared" si="40"/>
        <v>5</v>
      </c>
      <c r="AC158" s="13" t="s">
        <v>174</v>
      </c>
      <c r="AD158" s="161"/>
      <c r="AE158" s="162"/>
      <c r="AF158" s="16">
        <f t="shared" ref="AF158:AF162" si="42">Z158</f>
        <v>0</v>
      </c>
      <c r="AG158" s="17"/>
      <c r="AH158" s="2"/>
      <c r="AI158" s="2"/>
      <c r="AJ158" s="2"/>
      <c r="AK158" s="2"/>
      <c r="AL158" s="2"/>
      <c r="AM158" s="8"/>
      <c r="AN158" s="8"/>
    </row>
    <row r="159" spans="1:42" s="12" customFormat="1" ht="110.25" customHeight="1" x14ac:dyDescent="2.35">
      <c r="B159" s="13" t="s">
        <v>175</v>
      </c>
      <c r="C159" s="14">
        <v>0</v>
      </c>
      <c r="D159" s="14">
        <v>1</v>
      </c>
      <c r="E159" s="14">
        <v>0</v>
      </c>
      <c r="F159" s="14">
        <v>2</v>
      </c>
      <c r="G159" s="14">
        <v>0</v>
      </c>
      <c r="H159" s="14">
        <v>1</v>
      </c>
      <c r="I159" s="14">
        <v>0</v>
      </c>
      <c r="J159" s="14">
        <v>1</v>
      </c>
      <c r="K159" s="14">
        <v>0</v>
      </c>
      <c r="L159" s="14">
        <v>0</v>
      </c>
      <c r="M159" s="14">
        <v>0</v>
      </c>
      <c r="N159" s="14">
        <v>1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1</v>
      </c>
      <c r="Y159" s="14">
        <v>0</v>
      </c>
      <c r="Z159" s="113">
        <v>0</v>
      </c>
      <c r="AA159" s="14">
        <f t="shared" si="41"/>
        <v>0</v>
      </c>
      <c r="AB159" s="14">
        <f t="shared" si="40"/>
        <v>7</v>
      </c>
      <c r="AC159" s="13" t="s">
        <v>175</v>
      </c>
      <c r="AD159" s="161"/>
      <c r="AE159" s="162"/>
      <c r="AF159" s="16">
        <f t="shared" si="42"/>
        <v>0</v>
      </c>
      <c r="AG159" s="17"/>
      <c r="AH159" s="2"/>
      <c r="AI159" s="2"/>
      <c r="AJ159" s="2"/>
      <c r="AK159" s="2"/>
      <c r="AL159" s="2"/>
      <c r="AM159" s="8"/>
      <c r="AN159" s="8"/>
    </row>
    <row r="160" spans="1:42" s="12" customFormat="1" ht="110.25" customHeight="1" x14ac:dyDescent="2.35">
      <c r="B160" s="13" t="s">
        <v>176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13">
        <v>0</v>
      </c>
      <c r="AA160" s="14">
        <f t="shared" si="41"/>
        <v>0</v>
      </c>
      <c r="AB160" s="14">
        <f t="shared" si="40"/>
        <v>0</v>
      </c>
      <c r="AC160" s="13" t="s">
        <v>176</v>
      </c>
      <c r="AD160" s="161"/>
      <c r="AE160" s="162"/>
      <c r="AF160" s="16">
        <f t="shared" si="42"/>
        <v>0</v>
      </c>
      <c r="AG160" s="17"/>
      <c r="AH160" s="2"/>
      <c r="AI160" s="2"/>
      <c r="AJ160" s="2"/>
      <c r="AK160" s="2"/>
      <c r="AL160" s="2"/>
      <c r="AM160" s="8"/>
      <c r="AN160" s="8"/>
    </row>
    <row r="161" spans="2:42" s="12" customFormat="1" ht="110.25" customHeight="1" x14ac:dyDescent="2.35">
      <c r="B161" s="13" t="s">
        <v>177</v>
      </c>
      <c r="C161" s="14">
        <v>0</v>
      </c>
      <c r="D161" s="14">
        <v>5</v>
      </c>
      <c r="E161" s="14">
        <v>0</v>
      </c>
      <c r="F161" s="14">
        <v>4</v>
      </c>
      <c r="G161" s="14">
        <v>0</v>
      </c>
      <c r="H161" s="14">
        <v>3</v>
      </c>
      <c r="I161" s="14">
        <v>1</v>
      </c>
      <c r="J161" s="14">
        <v>1</v>
      </c>
      <c r="K161" s="14">
        <v>2</v>
      </c>
      <c r="L161" s="14">
        <v>0</v>
      </c>
      <c r="M161" s="14">
        <v>0</v>
      </c>
      <c r="N161" s="14">
        <v>4</v>
      </c>
      <c r="O161" s="14">
        <v>0</v>
      </c>
      <c r="P161" s="14">
        <v>6</v>
      </c>
      <c r="Q161" s="14">
        <v>1</v>
      </c>
      <c r="R161" s="14">
        <v>2</v>
      </c>
      <c r="S161" s="14">
        <v>1</v>
      </c>
      <c r="T161" s="14">
        <v>1</v>
      </c>
      <c r="U161" s="14">
        <v>1</v>
      </c>
      <c r="V161" s="14">
        <v>4</v>
      </c>
      <c r="W161" s="14">
        <v>0</v>
      </c>
      <c r="X161" s="14">
        <v>4</v>
      </c>
      <c r="Y161" s="14">
        <v>0</v>
      </c>
      <c r="Z161" s="113">
        <v>61800</v>
      </c>
      <c r="AA161" s="14">
        <f t="shared" si="41"/>
        <v>6</v>
      </c>
      <c r="AB161" s="14">
        <f t="shared" si="40"/>
        <v>34</v>
      </c>
      <c r="AC161" s="13" t="s">
        <v>177</v>
      </c>
      <c r="AD161" s="161"/>
      <c r="AE161" s="162"/>
      <c r="AF161" s="16">
        <f t="shared" si="42"/>
        <v>61800</v>
      </c>
      <c r="AG161" s="17"/>
      <c r="AH161" s="2"/>
      <c r="AI161" s="2"/>
      <c r="AJ161" s="2"/>
      <c r="AK161" s="2"/>
      <c r="AL161" s="2"/>
      <c r="AM161" s="8"/>
      <c r="AN161" s="8"/>
    </row>
    <row r="162" spans="2:42" s="12" customFormat="1" ht="110.25" customHeight="1" x14ac:dyDescent="2.35">
      <c r="B162" s="13" t="s">
        <v>178</v>
      </c>
      <c r="C162" s="14">
        <v>0</v>
      </c>
      <c r="D162" s="14">
        <v>3</v>
      </c>
      <c r="E162" s="14">
        <v>0</v>
      </c>
      <c r="F162" s="14">
        <v>3</v>
      </c>
      <c r="G162" s="14">
        <v>0</v>
      </c>
      <c r="H162" s="14">
        <v>1</v>
      </c>
      <c r="I162" s="14">
        <v>2</v>
      </c>
      <c r="J162" s="14">
        <v>1</v>
      </c>
      <c r="K162" s="14">
        <v>1</v>
      </c>
      <c r="L162" s="14">
        <v>1</v>
      </c>
      <c r="M162" s="14">
        <v>0</v>
      </c>
      <c r="N162" s="14">
        <v>1</v>
      </c>
      <c r="O162" s="14">
        <v>0</v>
      </c>
      <c r="P162" s="14">
        <v>3</v>
      </c>
      <c r="Q162" s="14">
        <v>0</v>
      </c>
      <c r="R162" s="14">
        <v>3</v>
      </c>
      <c r="S162" s="14">
        <v>0</v>
      </c>
      <c r="T162" s="14">
        <v>2</v>
      </c>
      <c r="U162" s="14">
        <v>0</v>
      </c>
      <c r="V162" s="14">
        <v>3</v>
      </c>
      <c r="W162" s="14">
        <v>0</v>
      </c>
      <c r="X162" s="14">
        <v>2</v>
      </c>
      <c r="Y162" s="14">
        <v>0</v>
      </c>
      <c r="Z162" s="113">
        <v>30900</v>
      </c>
      <c r="AA162" s="14">
        <f t="shared" si="41"/>
        <v>3</v>
      </c>
      <c r="AB162" s="14">
        <f t="shared" si="40"/>
        <v>23</v>
      </c>
      <c r="AC162" s="13" t="s">
        <v>178</v>
      </c>
      <c r="AD162" s="163"/>
      <c r="AE162" s="164"/>
      <c r="AF162" s="16">
        <f t="shared" si="42"/>
        <v>30900</v>
      </c>
      <c r="AG162" s="17"/>
      <c r="AH162" s="2"/>
      <c r="AI162" s="2"/>
      <c r="AJ162" s="2"/>
      <c r="AK162" s="2"/>
      <c r="AL162" s="2"/>
      <c r="AM162" s="3"/>
      <c r="AN162" s="3"/>
      <c r="AO162" s="2"/>
      <c r="AP162" s="2"/>
    </row>
    <row r="163" spans="2:42" s="2" customFormat="1" ht="123.75" customHeight="1" thickBot="1" x14ac:dyDescent="2.4">
      <c r="B163" s="79" t="s">
        <v>179</v>
      </c>
      <c r="C163" s="142" t="s">
        <v>2</v>
      </c>
      <c r="D163" s="143"/>
      <c r="E163" s="142" t="s">
        <v>3</v>
      </c>
      <c r="F163" s="143"/>
      <c r="G163" s="142" t="s">
        <v>4</v>
      </c>
      <c r="H163" s="143"/>
      <c r="I163" s="142" t="s">
        <v>5</v>
      </c>
      <c r="J163" s="143"/>
      <c r="K163" s="142" t="s">
        <v>6</v>
      </c>
      <c r="L163" s="143"/>
      <c r="M163" s="142" t="s">
        <v>7</v>
      </c>
      <c r="N163" s="143"/>
      <c r="O163" s="142" t="s">
        <v>8</v>
      </c>
      <c r="P163" s="143"/>
      <c r="Q163" s="142" t="s">
        <v>9</v>
      </c>
      <c r="R163" s="143"/>
      <c r="S163" s="142" t="s">
        <v>10</v>
      </c>
      <c r="T163" s="143"/>
      <c r="U163" s="142" t="s">
        <v>11</v>
      </c>
      <c r="V163" s="143"/>
      <c r="W163" s="142" t="s">
        <v>12</v>
      </c>
      <c r="X163" s="143"/>
      <c r="Y163" s="9" t="s">
        <v>13</v>
      </c>
      <c r="Z163" s="118"/>
      <c r="AA163" s="146" t="s">
        <v>14</v>
      </c>
      <c r="AB163" s="147"/>
      <c r="AC163" s="79" t="s">
        <v>179</v>
      </c>
      <c r="AD163" s="148"/>
      <c r="AE163" s="149"/>
      <c r="AF163" s="6" t="s">
        <v>17</v>
      </c>
      <c r="AG163" s="7"/>
      <c r="AH163" s="93"/>
      <c r="AI163" s="93"/>
      <c r="AM163" s="8"/>
      <c r="AN163" s="8"/>
      <c r="AO163" s="12"/>
      <c r="AP163" s="12"/>
    </row>
    <row r="164" spans="2:42" s="12" customFormat="1" ht="123.75" customHeight="1" x14ac:dyDescent="2.35">
      <c r="B164" s="13" t="s">
        <v>180</v>
      </c>
      <c r="C164" s="19">
        <v>0</v>
      </c>
      <c r="D164" s="20"/>
      <c r="E164" s="19">
        <v>3</v>
      </c>
      <c r="F164" s="20"/>
      <c r="G164" s="19">
        <v>2</v>
      </c>
      <c r="H164" s="20"/>
      <c r="I164" s="19">
        <v>1</v>
      </c>
      <c r="J164" s="20"/>
      <c r="K164" s="19">
        <v>0</v>
      </c>
      <c r="L164" s="20"/>
      <c r="M164" s="19">
        <v>0</v>
      </c>
      <c r="N164" s="20"/>
      <c r="O164" s="19">
        <v>0</v>
      </c>
      <c r="P164" s="20"/>
      <c r="Q164" s="19">
        <v>0</v>
      </c>
      <c r="R164" s="20"/>
      <c r="S164" s="19">
        <v>0</v>
      </c>
      <c r="T164" s="20"/>
      <c r="U164" s="19">
        <v>2</v>
      </c>
      <c r="V164" s="20"/>
      <c r="W164" s="19">
        <v>2</v>
      </c>
      <c r="X164" s="20"/>
      <c r="Y164" s="14">
        <v>0</v>
      </c>
      <c r="Z164" s="121">
        <v>113000</v>
      </c>
      <c r="AA164" s="130">
        <f t="shared" ref="AA164:AA186" si="43">SUM(C164:Y164)</f>
        <v>10</v>
      </c>
      <c r="AB164" s="131"/>
      <c r="AC164" s="13" t="s">
        <v>180</v>
      </c>
      <c r="AD164" s="159">
        <f>SUM(AA164:AA171)</f>
        <v>96</v>
      </c>
      <c r="AE164" s="160"/>
      <c r="AF164" s="16">
        <f>Z164</f>
        <v>113000</v>
      </c>
      <c r="AG164" s="94"/>
      <c r="AH164" s="165" t="s">
        <v>181</v>
      </c>
      <c r="AI164" s="166"/>
      <c r="AJ164" s="166"/>
      <c r="AK164" s="166"/>
      <c r="AL164" s="167"/>
      <c r="AM164" s="8"/>
      <c r="AN164" s="8"/>
    </row>
    <row r="165" spans="2:42" s="12" customFormat="1" ht="123.75" customHeight="1" x14ac:dyDescent="2.35">
      <c r="B165" s="13" t="s">
        <v>182</v>
      </c>
      <c r="C165" s="19">
        <v>0</v>
      </c>
      <c r="D165" s="20"/>
      <c r="E165" s="19">
        <v>0</v>
      </c>
      <c r="F165" s="20"/>
      <c r="G165" s="19">
        <v>0</v>
      </c>
      <c r="H165" s="20"/>
      <c r="I165" s="19">
        <v>0</v>
      </c>
      <c r="J165" s="20"/>
      <c r="K165" s="19">
        <v>0</v>
      </c>
      <c r="L165" s="20"/>
      <c r="M165" s="19">
        <v>0</v>
      </c>
      <c r="N165" s="20"/>
      <c r="O165" s="19">
        <v>0</v>
      </c>
      <c r="P165" s="20"/>
      <c r="Q165" s="19">
        <v>0</v>
      </c>
      <c r="R165" s="20"/>
      <c r="S165" s="19">
        <v>0</v>
      </c>
      <c r="T165" s="20"/>
      <c r="U165" s="19">
        <v>0</v>
      </c>
      <c r="V165" s="20"/>
      <c r="W165" s="19">
        <v>0</v>
      </c>
      <c r="X165" s="20"/>
      <c r="Y165" s="14">
        <v>0</v>
      </c>
      <c r="Z165" s="121">
        <v>0</v>
      </c>
      <c r="AA165" s="130">
        <f t="shared" si="43"/>
        <v>0</v>
      </c>
      <c r="AB165" s="131"/>
      <c r="AC165" s="13" t="s">
        <v>182</v>
      </c>
      <c r="AD165" s="161"/>
      <c r="AE165" s="162"/>
      <c r="AF165" s="16">
        <f t="shared" ref="AF165:AF170" si="44">Z165</f>
        <v>0</v>
      </c>
      <c r="AG165" s="94"/>
      <c r="AH165" s="168"/>
      <c r="AI165" s="169"/>
      <c r="AJ165" s="169"/>
      <c r="AK165" s="169"/>
      <c r="AL165" s="170"/>
      <c r="AM165" s="8"/>
      <c r="AN165" s="8"/>
    </row>
    <row r="166" spans="2:42" s="12" customFormat="1" ht="123.75" customHeight="1" x14ac:dyDescent="2.35">
      <c r="B166" s="13" t="s">
        <v>183</v>
      </c>
      <c r="C166" s="19">
        <v>0</v>
      </c>
      <c r="D166" s="20"/>
      <c r="E166" s="19">
        <v>7</v>
      </c>
      <c r="F166" s="20"/>
      <c r="G166" s="19">
        <v>0</v>
      </c>
      <c r="H166" s="20"/>
      <c r="I166" s="19">
        <v>5</v>
      </c>
      <c r="J166" s="20"/>
      <c r="K166" s="19">
        <v>0</v>
      </c>
      <c r="L166" s="20"/>
      <c r="M166" s="19">
        <v>0</v>
      </c>
      <c r="N166" s="20"/>
      <c r="O166" s="19">
        <v>7</v>
      </c>
      <c r="P166" s="20"/>
      <c r="Q166" s="19">
        <v>1</v>
      </c>
      <c r="R166" s="20"/>
      <c r="S166" s="19">
        <v>4</v>
      </c>
      <c r="T166" s="20"/>
      <c r="U166" s="19">
        <v>3</v>
      </c>
      <c r="V166" s="20"/>
      <c r="W166" s="19">
        <v>5</v>
      </c>
      <c r="X166" s="20"/>
      <c r="Y166" s="14">
        <v>0</v>
      </c>
      <c r="Z166" s="121">
        <v>352000</v>
      </c>
      <c r="AA166" s="130">
        <f t="shared" si="43"/>
        <v>32</v>
      </c>
      <c r="AB166" s="131"/>
      <c r="AC166" s="13" t="s">
        <v>183</v>
      </c>
      <c r="AD166" s="161"/>
      <c r="AE166" s="162"/>
      <c r="AF166" s="16">
        <f t="shared" si="44"/>
        <v>352000</v>
      </c>
      <c r="AG166" s="94"/>
      <c r="AH166" s="168"/>
      <c r="AI166" s="169"/>
      <c r="AJ166" s="169"/>
      <c r="AK166" s="169"/>
      <c r="AL166" s="170"/>
      <c r="AM166" s="8"/>
      <c r="AN166" s="8"/>
    </row>
    <row r="167" spans="2:42" s="12" customFormat="1" ht="123.75" customHeight="1" x14ac:dyDescent="2.35">
      <c r="B167" s="13" t="s">
        <v>184</v>
      </c>
      <c r="C167" s="19">
        <v>3</v>
      </c>
      <c r="D167" s="20"/>
      <c r="E167" s="19">
        <v>7</v>
      </c>
      <c r="F167" s="20"/>
      <c r="G167" s="19">
        <v>3</v>
      </c>
      <c r="H167" s="20"/>
      <c r="I167" s="19">
        <v>7</v>
      </c>
      <c r="J167" s="20"/>
      <c r="K167" s="19">
        <v>1</v>
      </c>
      <c r="L167" s="20"/>
      <c r="M167" s="19">
        <v>0</v>
      </c>
      <c r="N167" s="20"/>
      <c r="O167" s="19">
        <v>6</v>
      </c>
      <c r="P167" s="20"/>
      <c r="Q167" s="19">
        <v>10</v>
      </c>
      <c r="R167" s="20"/>
      <c r="S167" s="19">
        <v>9</v>
      </c>
      <c r="T167" s="20"/>
      <c r="U167" s="19">
        <v>6</v>
      </c>
      <c r="V167" s="20"/>
      <c r="W167" s="19">
        <v>1</v>
      </c>
      <c r="X167" s="20"/>
      <c r="Y167" s="14">
        <v>0</v>
      </c>
      <c r="Z167" s="121">
        <v>429300</v>
      </c>
      <c r="AA167" s="130">
        <f t="shared" si="43"/>
        <v>53</v>
      </c>
      <c r="AB167" s="131"/>
      <c r="AC167" s="13" t="s">
        <v>184</v>
      </c>
      <c r="AD167" s="161"/>
      <c r="AE167" s="162"/>
      <c r="AF167" s="16">
        <f t="shared" si="44"/>
        <v>429300</v>
      </c>
      <c r="AG167" s="94"/>
      <c r="AH167" s="168"/>
      <c r="AI167" s="169"/>
      <c r="AJ167" s="169"/>
      <c r="AK167" s="169"/>
      <c r="AL167" s="170"/>
      <c r="AM167" s="8"/>
      <c r="AN167" s="8"/>
    </row>
    <row r="168" spans="2:42" s="12" customFormat="1" ht="123.75" customHeight="1" x14ac:dyDescent="2.35">
      <c r="B168" s="13" t="s">
        <v>185</v>
      </c>
      <c r="C168" s="19">
        <v>0</v>
      </c>
      <c r="D168" s="20"/>
      <c r="E168" s="19">
        <v>0</v>
      </c>
      <c r="F168" s="20"/>
      <c r="G168" s="19">
        <v>0</v>
      </c>
      <c r="H168" s="20"/>
      <c r="I168" s="19">
        <v>0</v>
      </c>
      <c r="J168" s="20"/>
      <c r="K168" s="19">
        <v>0</v>
      </c>
      <c r="L168" s="20"/>
      <c r="M168" s="19">
        <v>0</v>
      </c>
      <c r="N168" s="20"/>
      <c r="O168" s="19">
        <v>0</v>
      </c>
      <c r="P168" s="20"/>
      <c r="Q168" s="19">
        <v>0</v>
      </c>
      <c r="R168" s="20"/>
      <c r="S168" s="19">
        <v>0</v>
      </c>
      <c r="T168" s="20"/>
      <c r="U168" s="19">
        <v>0</v>
      </c>
      <c r="V168" s="20"/>
      <c r="W168" s="19">
        <v>0</v>
      </c>
      <c r="X168" s="20"/>
      <c r="Y168" s="14">
        <v>0</v>
      </c>
      <c r="Z168" s="121">
        <v>0</v>
      </c>
      <c r="AA168" s="130">
        <f t="shared" si="43"/>
        <v>0</v>
      </c>
      <c r="AB168" s="131"/>
      <c r="AC168" s="13" t="s">
        <v>185</v>
      </c>
      <c r="AD168" s="161"/>
      <c r="AE168" s="162"/>
      <c r="AF168" s="16">
        <f t="shared" si="44"/>
        <v>0</v>
      </c>
      <c r="AG168" s="94"/>
      <c r="AH168" s="171">
        <f>SUM(AF164:AF171)</f>
        <v>903800</v>
      </c>
      <c r="AI168" s="169"/>
      <c r="AJ168" s="169"/>
      <c r="AK168" s="169"/>
      <c r="AL168" s="170"/>
      <c r="AM168" s="8"/>
      <c r="AN168" s="8"/>
    </row>
    <row r="169" spans="2:42" s="12" customFormat="1" ht="123.75" customHeight="1" x14ac:dyDescent="2.35">
      <c r="B169" s="13" t="s">
        <v>186</v>
      </c>
      <c r="C169" s="19">
        <v>0</v>
      </c>
      <c r="D169" s="20"/>
      <c r="E169" s="19">
        <v>0</v>
      </c>
      <c r="F169" s="20"/>
      <c r="G169" s="19">
        <v>0</v>
      </c>
      <c r="H169" s="20"/>
      <c r="I169" s="19">
        <v>0</v>
      </c>
      <c r="J169" s="20"/>
      <c r="K169" s="19">
        <v>0</v>
      </c>
      <c r="L169" s="20"/>
      <c r="M169" s="19">
        <v>0</v>
      </c>
      <c r="N169" s="20"/>
      <c r="O169" s="19">
        <v>0</v>
      </c>
      <c r="P169" s="20"/>
      <c r="Q169" s="19">
        <v>0</v>
      </c>
      <c r="R169" s="20"/>
      <c r="S169" s="19">
        <v>0</v>
      </c>
      <c r="T169" s="20"/>
      <c r="U169" s="19">
        <v>0</v>
      </c>
      <c r="V169" s="20"/>
      <c r="W169" s="19">
        <v>0</v>
      </c>
      <c r="X169" s="20"/>
      <c r="Y169" s="14">
        <v>0</v>
      </c>
      <c r="Z169" s="121">
        <v>0</v>
      </c>
      <c r="AA169" s="130">
        <f t="shared" si="43"/>
        <v>0</v>
      </c>
      <c r="AB169" s="131"/>
      <c r="AC169" s="13" t="s">
        <v>186</v>
      </c>
      <c r="AD169" s="161"/>
      <c r="AE169" s="162"/>
      <c r="AF169" s="16">
        <f t="shared" si="44"/>
        <v>0</v>
      </c>
      <c r="AG169" s="94"/>
      <c r="AH169" s="26"/>
      <c r="AI169" s="27"/>
      <c r="AJ169" s="27"/>
      <c r="AK169" s="27"/>
      <c r="AL169" s="28"/>
      <c r="AM169" s="8"/>
      <c r="AN169" s="8"/>
    </row>
    <row r="170" spans="2:42" s="12" customFormat="1" ht="123.75" customHeight="1" thickBot="1" x14ac:dyDescent="2.4">
      <c r="B170" s="13" t="s">
        <v>187</v>
      </c>
      <c r="C170" s="19">
        <v>0</v>
      </c>
      <c r="D170" s="20"/>
      <c r="E170" s="19">
        <v>0</v>
      </c>
      <c r="F170" s="20"/>
      <c r="G170" s="19">
        <v>0</v>
      </c>
      <c r="H170" s="20"/>
      <c r="I170" s="19">
        <v>0</v>
      </c>
      <c r="J170" s="20"/>
      <c r="K170" s="19">
        <v>0</v>
      </c>
      <c r="L170" s="20"/>
      <c r="M170" s="19">
        <v>0</v>
      </c>
      <c r="N170" s="20"/>
      <c r="O170" s="19">
        <v>0</v>
      </c>
      <c r="P170" s="20"/>
      <c r="Q170" s="19">
        <v>0</v>
      </c>
      <c r="R170" s="20"/>
      <c r="S170" s="19">
        <v>0</v>
      </c>
      <c r="T170" s="20"/>
      <c r="U170" s="19">
        <v>1</v>
      </c>
      <c r="V170" s="20"/>
      <c r="W170" s="19">
        <v>0</v>
      </c>
      <c r="X170" s="20"/>
      <c r="Y170" s="14">
        <v>0</v>
      </c>
      <c r="Z170" s="121">
        <v>9500</v>
      </c>
      <c r="AA170" s="130">
        <f t="shared" si="43"/>
        <v>1</v>
      </c>
      <c r="AB170" s="131"/>
      <c r="AC170" s="13" t="s">
        <v>187</v>
      </c>
      <c r="AD170" s="161"/>
      <c r="AE170" s="162"/>
      <c r="AF170" s="16">
        <f t="shared" si="44"/>
        <v>9500</v>
      </c>
      <c r="AG170" s="94"/>
      <c r="AH170" s="83"/>
      <c r="AI170" s="84"/>
      <c r="AJ170" s="84"/>
      <c r="AK170" s="84"/>
      <c r="AL170" s="85"/>
      <c r="AM170" s="8"/>
      <c r="AN170" s="8"/>
    </row>
    <row r="171" spans="2:42" s="12" customFormat="1" ht="123.75" customHeight="1" x14ac:dyDescent="2.35">
      <c r="B171" s="13" t="s">
        <v>188</v>
      </c>
      <c r="C171" s="19">
        <v>0</v>
      </c>
      <c r="D171" s="20"/>
      <c r="E171" s="19">
        <v>0</v>
      </c>
      <c r="F171" s="20"/>
      <c r="G171" s="19">
        <v>0</v>
      </c>
      <c r="H171" s="20"/>
      <c r="I171" s="19">
        <v>0</v>
      </c>
      <c r="J171" s="20"/>
      <c r="K171" s="19">
        <v>0</v>
      </c>
      <c r="L171" s="20"/>
      <c r="M171" s="19">
        <v>0</v>
      </c>
      <c r="N171" s="20"/>
      <c r="O171" s="19">
        <v>0</v>
      </c>
      <c r="P171" s="20"/>
      <c r="Q171" s="19">
        <v>0</v>
      </c>
      <c r="R171" s="20"/>
      <c r="S171" s="19">
        <v>0</v>
      </c>
      <c r="T171" s="20"/>
      <c r="U171" s="19">
        <v>0</v>
      </c>
      <c r="V171" s="20"/>
      <c r="W171" s="19">
        <v>0</v>
      </c>
      <c r="X171" s="20"/>
      <c r="Y171" s="14">
        <v>0</v>
      </c>
      <c r="Z171" s="121">
        <v>0</v>
      </c>
      <c r="AA171" s="130">
        <f t="shared" si="43"/>
        <v>0</v>
      </c>
      <c r="AB171" s="131"/>
      <c r="AC171" s="13" t="s">
        <v>188</v>
      </c>
      <c r="AD171" s="163"/>
      <c r="AE171" s="164"/>
      <c r="AF171" s="16">
        <f>Z171</f>
        <v>0</v>
      </c>
      <c r="AG171" s="94"/>
      <c r="AH171" s="24"/>
      <c r="AI171" s="24"/>
      <c r="AJ171" s="24"/>
      <c r="AK171" s="24"/>
      <c r="AL171" s="24"/>
      <c r="AM171" s="8"/>
      <c r="AN171" s="8"/>
    </row>
    <row r="172" spans="2:42" ht="123.75" customHeight="1" x14ac:dyDescent="2.35">
      <c r="B172" s="86" t="s">
        <v>189</v>
      </c>
      <c r="C172" s="95">
        <f>SUM(C164:C171)</f>
        <v>3</v>
      </c>
      <c r="D172" s="96"/>
      <c r="E172" s="95">
        <f t="shared" ref="E172:Y172" si="45">SUM(E164:E171)</f>
        <v>17</v>
      </c>
      <c r="F172" s="96"/>
      <c r="G172" s="95">
        <f t="shared" si="45"/>
        <v>5</v>
      </c>
      <c r="H172" s="96"/>
      <c r="I172" s="95">
        <f t="shared" si="45"/>
        <v>13</v>
      </c>
      <c r="J172" s="96"/>
      <c r="K172" s="95">
        <f t="shared" si="45"/>
        <v>1</v>
      </c>
      <c r="L172" s="96"/>
      <c r="M172" s="95">
        <f t="shared" si="45"/>
        <v>0</v>
      </c>
      <c r="N172" s="96"/>
      <c r="O172" s="95">
        <f t="shared" si="45"/>
        <v>13</v>
      </c>
      <c r="P172" s="96"/>
      <c r="Q172" s="95">
        <f t="shared" si="45"/>
        <v>11</v>
      </c>
      <c r="R172" s="96"/>
      <c r="S172" s="95">
        <f t="shared" si="45"/>
        <v>13</v>
      </c>
      <c r="T172" s="96"/>
      <c r="U172" s="95">
        <f t="shared" si="45"/>
        <v>12</v>
      </c>
      <c r="V172" s="96"/>
      <c r="W172" s="95">
        <f t="shared" si="45"/>
        <v>8</v>
      </c>
      <c r="X172" s="96"/>
      <c r="Y172" s="97">
        <f t="shared" si="45"/>
        <v>0</v>
      </c>
      <c r="Z172" s="122"/>
      <c r="AA172" s="146">
        <f t="shared" si="43"/>
        <v>96</v>
      </c>
      <c r="AB172" s="147"/>
      <c r="AC172" s="86" t="s">
        <v>190</v>
      </c>
      <c r="AD172" s="157"/>
      <c r="AE172" s="158"/>
      <c r="AF172" s="6" t="s">
        <v>17</v>
      </c>
      <c r="AG172" s="7"/>
    </row>
    <row r="173" spans="2:42" s="12" customFormat="1" ht="123.75" customHeight="1" x14ac:dyDescent="2.35">
      <c r="B173" s="13" t="s">
        <v>191</v>
      </c>
      <c r="C173" s="19">
        <v>0</v>
      </c>
      <c r="D173" s="20"/>
      <c r="E173" s="19">
        <v>0</v>
      </c>
      <c r="F173" s="20"/>
      <c r="G173" s="19">
        <v>0</v>
      </c>
      <c r="H173" s="20"/>
      <c r="I173" s="19">
        <v>0</v>
      </c>
      <c r="J173" s="20"/>
      <c r="K173" s="19">
        <v>0</v>
      </c>
      <c r="L173" s="20"/>
      <c r="M173" s="19">
        <v>0</v>
      </c>
      <c r="N173" s="20"/>
      <c r="O173" s="19">
        <v>2</v>
      </c>
      <c r="P173" s="20"/>
      <c r="Q173" s="19">
        <v>0</v>
      </c>
      <c r="R173" s="20"/>
      <c r="S173" s="19">
        <v>3</v>
      </c>
      <c r="T173" s="20"/>
      <c r="U173" s="19">
        <v>2</v>
      </c>
      <c r="V173" s="20"/>
      <c r="W173" s="19">
        <v>1</v>
      </c>
      <c r="X173" s="20"/>
      <c r="Y173" s="14">
        <v>0</v>
      </c>
      <c r="Z173" s="121">
        <v>72800</v>
      </c>
      <c r="AA173" s="130">
        <f t="shared" si="43"/>
        <v>8</v>
      </c>
      <c r="AB173" s="131"/>
      <c r="AC173" s="13" t="s">
        <v>191</v>
      </c>
      <c r="AD173" s="154"/>
      <c r="AE173" s="155"/>
      <c r="AF173" s="16">
        <f>Z173</f>
        <v>72800</v>
      </c>
      <c r="AG173" s="98"/>
      <c r="AH173" s="99"/>
      <c r="AI173" s="99"/>
      <c r="AJ173" s="99"/>
      <c r="AK173" s="99"/>
      <c r="AL173" s="99"/>
      <c r="AM173" s="8"/>
      <c r="AN173" s="8"/>
    </row>
    <row r="174" spans="2:42" s="12" customFormat="1" ht="123.75" customHeight="1" x14ac:dyDescent="2.35">
      <c r="B174" s="13" t="s">
        <v>192</v>
      </c>
      <c r="C174" s="19">
        <v>0</v>
      </c>
      <c r="D174" s="20"/>
      <c r="E174" s="19">
        <v>2</v>
      </c>
      <c r="F174" s="20"/>
      <c r="G174" s="19">
        <v>0</v>
      </c>
      <c r="H174" s="20"/>
      <c r="I174" s="19">
        <v>0</v>
      </c>
      <c r="J174" s="20"/>
      <c r="K174" s="19">
        <v>0</v>
      </c>
      <c r="L174" s="20"/>
      <c r="M174" s="19">
        <v>0</v>
      </c>
      <c r="N174" s="20"/>
      <c r="O174" s="19">
        <v>0</v>
      </c>
      <c r="P174" s="20"/>
      <c r="Q174" s="19">
        <v>0</v>
      </c>
      <c r="R174" s="20"/>
      <c r="S174" s="19">
        <v>0</v>
      </c>
      <c r="T174" s="20"/>
      <c r="U174" s="19">
        <v>0</v>
      </c>
      <c r="V174" s="20"/>
      <c r="W174" s="19">
        <v>0</v>
      </c>
      <c r="X174" s="20"/>
      <c r="Y174" s="14">
        <v>0</v>
      </c>
      <c r="Z174" s="121">
        <v>13800</v>
      </c>
      <c r="AA174" s="130">
        <f t="shared" si="43"/>
        <v>2</v>
      </c>
      <c r="AB174" s="131"/>
      <c r="AC174" s="13" t="s">
        <v>192</v>
      </c>
      <c r="AD174" s="154"/>
      <c r="AE174" s="155"/>
      <c r="AF174" s="16">
        <f>Z174</f>
        <v>13800</v>
      </c>
      <c r="AG174" s="98"/>
      <c r="AH174" s="99"/>
      <c r="AI174" s="99"/>
      <c r="AJ174" s="99"/>
      <c r="AK174" s="99"/>
      <c r="AL174" s="99"/>
      <c r="AM174" s="8"/>
      <c r="AN174" s="8"/>
    </row>
    <row r="175" spans="2:42" s="12" customFormat="1" ht="123.75" customHeight="1" x14ac:dyDescent="2.35">
      <c r="B175" s="13" t="s">
        <v>193</v>
      </c>
      <c r="C175" s="19">
        <v>0</v>
      </c>
      <c r="D175" s="20"/>
      <c r="E175" s="19">
        <v>2</v>
      </c>
      <c r="F175" s="20"/>
      <c r="G175" s="19">
        <v>0</v>
      </c>
      <c r="H175" s="20"/>
      <c r="I175" s="19">
        <v>0</v>
      </c>
      <c r="J175" s="20"/>
      <c r="K175" s="19">
        <v>0</v>
      </c>
      <c r="L175" s="20"/>
      <c r="M175" s="19">
        <v>0</v>
      </c>
      <c r="N175" s="20"/>
      <c r="O175" s="19">
        <v>1</v>
      </c>
      <c r="P175" s="20"/>
      <c r="Q175" s="19">
        <v>0</v>
      </c>
      <c r="R175" s="20"/>
      <c r="S175" s="19">
        <v>0</v>
      </c>
      <c r="T175" s="20"/>
      <c r="U175" s="19">
        <v>0</v>
      </c>
      <c r="V175" s="20"/>
      <c r="W175" s="19">
        <v>0</v>
      </c>
      <c r="X175" s="20"/>
      <c r="Y175" s="14">
        <v>0</v>
      </c>
      <c r="Z175" s="121">
        <v>33900</v>
      </c>
      <c r="AA175" s="130">
        <f t="shared" si="43"/>
        <v>3</v>
      </c>
      <c r="AB175" s="131"/>
      <c r="AC175" s="13" t="s">
        <v>193</v>
      </c>
      <c r="AD175" s="154"/>
      <c r="AE175" s="155"/>
      <c r="AF175" s="16">
        <f>Z175</f>
        <v>33900</v>
      </c>
      <c r="AG175" s="98"/>
      <c r="AH175" s="99"/>
      <c r="AI175" s="99"/>
      <c r="AJ175" s="99"/>
      <c r="AK175" s="99"/>
      <c r="AL175" s="99"/>
      <c r="AM175" s="8"/>
      <c r="AN175" s="8"/>
    </row>
    <row r="176" spans="2:42" s="12" customFormat="1" ht="123.75" customHeight="1" x14ac:dyDescent="2.35">
      <c r="B176" s="13" t="s">
        <v>194</v>
      </c>
      <c r="C176" s="19">
        <v>0</v>
      </c>
      <c r="D176" s="20"/>
      <c r="E176" s="19">
        <v>1</v>
      </c>
      <c r="F176" s="20"/>
      <c r="G176" s="19">
        <v>0</v>
      </c>
      <c r="H176" s="20"/>
      <c r="I176" s="19">
        <v>0</v>
      </c>
      <c r="J176" s="20"/>
      <c r="K176" s="19">
        <v>0</v>
      </c>
      <c r="L176" s="20"/>
      <c r="M176" s="19">
        <v>0</v>
      </c>
      <c r="N176" s="20"/>
      <c r="O176" s="19">
        <v>0</v>
      </c>
      <c r="P176" s="20"/>
      <c r="Q176" s="19">
        <v>0</v>
      </c>
      <c r="R176" s="20"/>
      <c r="S176" s="19">
        <v>0</v>
      </c>
      <c r="T176" s="20"/>
      <c r="U176" s="19">
        <v>0</v>
      </c>
      <c r="V176" s="20"/>
      <c r="W176" s="19">
        <v>0</v>
      </c>
      <c r="X176" s="20"/>
      <c r="Y176" s="14">
        <v>0</v>
      </c>
      <c r="Z176" s="121">
        <v>10500</v>
      </c>
      <c r="AA176" s="130">
        <f t="shared" si="43"/>
        <v>1</v>
      </c>
      <c r="AB176" s="131"/>
      <c r="AC176" s="13" t="s">
        <v>194</v>
      </c>
      <c r="AD176" s="154"/>
      <c r="AE176" s="155"/>
      <c r="AF176" s="16">
        <f t="shared" ref="AF176:AF186" si="46">Z176</f>
        <v>10500</v>
      </c>
      <c r="AG176" s="98"/>
      <c r="AH176" s="99"/>
      <c r="AI176" s="99"/>
      <c r="AJ176" s="99"/>
      <c r="AK176" s="99"/>
      <c r="AL176" s="99"/>
      <c r="AM176" s="8"/>
      <c r="AN176" s="8"/>
    </row>
    <row r="177" spans="2:42" s="12" customFormat="1" ht="123.75" customHeight="1" x14ac:dyDescent="2.35">
      <c r="B177" s="13" t="s">
        <v>195</v>
      </c>
      <c r="C177" s="19">
        <v>0</v>
      </c>
      <c r="D177" s="20"/>
      <c r="E177" s="19">
        <v>0</v>
      </c>
      <c r="F177" s="20"/>
      <c r="G177" s="19">
        <v>0</v>
      </c>
      <c r="H177" s="20"/>
      <c r="I177" s="19">
        <v>0</v>
      </c>
      <c r="J177" s="20"/>
      <c r="K177" s="19">
        <v>0</v>
      </c>
      <c r="L177" s="20"/>
      <c r="M177" s="19">
        <v>0</v>
      </c>
      <c r="N177" s="20"/>
      <c r="O177" s="19">
        <v>0</v>
      </c>
      <c r="P177" s="20"/>
      <c r="Q177" s="19">
        <v>0</v>
      </c>
      <c r="R177" s="20"/>
      <c r="S177" s="19">
        <v>0</v>
      </c>
      <c r="T177" s="20"/>
      <c r="U177" s="19">
        <v>0</v>
      </c>
      <c r="V177" s="20"/>
      <c r="W177" s="19">
        <v>0</v>
      </c>
      <c r="X177" s="20"/>
      <c r="Y177" s="14">
        <v>0</v>
      </c>
      <c r="Z177" s="121">
        <v>0</v>
      </c>
      <c r="AA177" s="130">
        <f t="shared" si="43"/>
        <v>0</v>
      </c>
      <c r="AB177" s="131"/>
      <c r="AC177" s="13" t="s">
        <v>195</v>
      </c>
      <c r="AD177" s="154"/>
      <c r="AE177" s="155"/>
      <c r="AF177" s="16">
        <f t="shared" si="46"/>
        <v>0</v>
      </c>
      <c r="AG177" s="98"/>
      <c r="AH177" s="99"/>
      <c r="AI177" s="99"/>
      <c r="AJ177" s="99"/>
      <c r="AK177" s="99"/>
      <c r="AL177" s="99"/>
      <c r="AM177" s="8"/>
      <c r="AN177" s="8"/>
    </row>
    <row r="178" spans="2:42" s="12" customFormat="1" ht="123.75" customHeight="1" x14ac:dyDescent="2.35">
      <c r="B178" s="13" t="s">
        <v>196</v>
      </c>
      <c r="C178" s="19">
        <v>0</v>
      </c>
      <c r="D178" s="20"/>
      <c r="E178" s="19">
        <v>0</v>
      </c>
      <c r="F178" s="20"/>
      <c r="G178" s="19">
        <v>0</v>
      </c>
      <c r="H178" s="20"/>
      <c r="I178" s="19">
        <v>0</v>
      </c>
      <c r="J178" s="20"/>
      <c r="K178" s="19">
        <v>0</v>
      </c>
      <c r="L178" s="20"/>
      <c r="M178" s="19">
        <v>0</v>
      </c>
      <c r="N178" s="20"/>
      <c r="O178" s="19">
        <v>0</v>
      </c>
      <c r="P178" s="20"/>
      <c r="Q178" s="19">
        <v>0</v>
      </c>
      <c r="R178" s="20"/>
      <c r="S178" s="19">
        <v>0</v>
      </c>
      <c r="T178" s="20"/>
      <c r="U178" s="19">
        <v>1</v>
      </c>
      <c r="V178" s="20"/>
      <c r="W178" s="19">
        <v>0</v>
      </c>
      <c r="X178" s="20"/>
      <c r="Y178" s="14">
        <v>0</v>
      </c>
      <c r="Z178" s="121">
        <v>11500</v>
      </c>
      <c r="AA178" s="130">
        <f t="shared" si="43"/>
        <v>1</v>
      </c>
      <c r="AB178" s="131"/>
      <c r="AC178" s="13" t="s">
        <v>196</v>
      </c>
      <c r="AD178" s="154"/>
      <c r="AE178" s="155"/>
      <c r="AF178" s="16">
        <f t="shared" si="46"/>
        <v>11500</v>
      </c>
      <c r="AG178" s="98"/>
      <c r="AH178" s="99"/>
      <c r="AI178" s="156"/>
      <c r="AJ178" s="156"/>
      <c r="AK178" s="156"/>
      <c r="AL178" s="99"/>
      <c r="AM178" s="8"/>
      <c r="AN178" s="8"/>
    </row>
    <row r="179" spans="2:42" s="12" customFormat="1" ht="127.5" customHeight="1" x14ac:dyDescent="2.35">
      <c r="B179" s="13" t="s">
        <v>197</v>
      </c>
      <c r="C179" s="19">
        <v>0</v>
      </c>
      <c r="D179" s="20"/>
      <c r="E179" s="19">
        <v>0</v>
      </c>
      <c r="F179" s="20"/>
      <c r="G179" s="19">
        <v>0</v>
      </c>
      <c r="H179" s="20"/>
      <c r="I179" s="19">
        <v>0</v>
      </c>
      <c r="J179" s="20"/>
      <c r="K179" s="19">
        <v>0</v>
      </c>
      <c r="L179" s="20"/>
      <c r="M179" s="19">
        <v>0</v>
      </c>
      <c r="N179" s="20"/>
      <c r="O179" s="19">
        <v>0</v>
      </c>
      <c r="P179" s="20"/>
      <c r="Q179" s="19">
        <v>0</v>
      </c>
      <c r="R179" s="20"/>
      <c r="S179" s="19">
        <v>0</v>
      </c>
      <c r="T179" s="20"/>
      <c r="U179" s="19">
        <v>0</v>
      </c>
      <c r="V179" s="20"/>
      <c r="W179" s="19">
        <v>0</v>
      </c>
      <c r="X179" s="20"/>
      <c r="Y179" s="14">
        <v>0</v>
      </c>
      <c r="Z179" s="121">
        <v>0</v>
      </c>
      <c r="AA179" s="130">
        <f t="shared" si="43"/>
        <v>0</v>
      </c>
      <c r="AB179" s="131"/>
      <c r="AC179" s="13" t="s">
        <v>197</v>
      </c>
      <c r="AD179" s="154"/>
      <c r="AE179" s="155"/>
      <c r="AF179" s="16">
        <f t="shared" si="46"/>
        <v>0</v>
      </c>
      <c r="AG179" s="98"/>
      <c r="AH179" s="99"/>
      <c r="AI179" s="99"/>
      <c r="AJ179" s="99"/>
      <c r="AK179" s="99"/>
      <c r="AL179" s="99"/>
      <c r="AM179" s="8"/>
      <c r="AN179" s="8"/>
    </row>
    <row r="180" spans="2:42" s="12" customFormat="1" ht="135" customHeight="1" x14ac:dyDescent="2.35">
      <c r="B180" s="13" t="s">
        <v>198</v>
      </c>
      <c r="C180" s="19">
        <v>0</v>
      </c>
      <c r="D180" s="20"/>
      <c r="E180" s="19">
        <v>0</v>
      </c>
      <c r="F180" s="20"/>
      <c r="G180" s="19">
        <v>0</v>
      </c>
      <c r="H180" s="20"/>
      <c r="I180" s="19">
        <v>0</v>
      </c>
      <c r="J180" s="20"/>
      <c r="K180" s="19">
        <v>0</v>
      </c>
      <c r="L180" s="20"/>
      <c r="M180" s="19">
        <v>0</v>
      </c>
      <c r="N180" s="20"/>
      <c r="O180" s="19">
        <v>0</v>
      </c>
      <c r="P180" s="20"/>
      <c r="Q180" s="19">
        <v>0</v>
      </c>
      <c r="R180" s="20"/>
      <c r="S180" s="19">
        <v>0</v>
      </c>
      <c r="T180" s="20"/>
      <c r="U180" s="19">
        <v>0</v>
      </c>
      <c r="V180" s="20"/>
      <c r="W180" s="19">
        <v>0</v>
      </c>
      <c r="X180" s="20"/>
      <c r="Y180" s="14">
        <v>0</v>
      </c>
      <c r="Z180" s="121">
        <v>0</v>
      </c>
      <c r="AA180" s="130">
        <f t="shared" si="43"/>
        <v>0</v>
      </c>
      <c r="AB180" s="131"/>
      <c r="AC180" s="13" t="s">
        <v>198</v>
      </c>
      <c r="AD180" s="154"/>
      <c r="AE180" s="155"/>
      <c r="AF180" s="16">
        <f t="shared" si="46"/>
        <v>0</v>
      </c>
      <c r="AG180" s="98"/>
      <c r="AH180" s="99"/>
      <c r="AI180" s="99"/>
      <c r="AJ180" s="99"/>
      <c r="AK180" s="99"/>
      <c r="AL180" s="99"/>
      <c r="AM180" s="8"/>
      <c r="AN180" s="8"/>
    </row>
    <row r="181" spans="2:42" s="12" customFormat="1" ht="123.75" customHeight="1" x14ac:dyDescent="2.35">
      <c r="B181" s="13" t="s">
        <v>199</v>
      </c>
      <c r="C181" s="19">
        <v>0</v>
      </c>
      <c r="D181" s="20"/>
      <c r="E181" s="19">
        <v>0</v>
      </c>
      <c r="F181" s="20"/>
      <c r="G181" s="19">
        <v>0</v>
      </c>
      <c r="H181" s="20"/>
      <c r="I181" s="19">
        <v>0</v>
      </c>
      <c r="J181" s="20"/>
      <c r="K181" s="19">
        <v>0</v>
      </c>
      <c r="L181" s="20"/>
      <c r="M181" s="19">
        <v>0</v>
      </c>
      <c r="N181" s="20"/>
      <c r="O181" s="19">
        <v>0</v>
      </c>
      <c r="P181" s="20"/>
      <c r="Q181" s="19">
        <v>0</v>
      </c>
      <c r="R181" s="20"/>
      <c r="S181" s="19">
        <v>1</v>
      </c>
      <c r="T181" s="20"/>
      <c r="U181" s="19">
        <v>0</v>
      </c>
      <c r="V181" s="20"/>
      <c r="W181" s="19">
        <v>0</v>
      </c>
      <c r="X181" s="20"/>
      <c r="Y181" s="14">
        <v>0</v>
      </c>
      <c r="Z181" s="121">
        <v>11500</v>
      </c>
      <c r="AA181" s="130">
        <f t="shared" si="43"/>
        <v>1</v>
      </c>
      <c r="AB181" s="131"/>
      <c r="AC181" s="13" t="s">
        <v>199</v>
      </c>
      <c r="AD181" s="154"/>
      <c r="AE181" s="155"/>
      <c r="AF181" s="16">
        <f t="shared" si="46"/>
        <v>11500</v>
      </c>
      <c r="AG181" s="98"/>
      <c r="AH181" s="99"/>
      <c r="AI181" s="99"/>
      <c r="AJ181" s="99"/>
      <c r="AK181" s="99"/>
      <c r="AL181" s="99"/>
      <c r="AM181" s="8"/>
      <c r="AN181" s="8"/>
    </row>
    <row r="182" spans="2:42" s="12" customFormat="1" ht="123.75" customHeight="1" x14ac:dyDescent="2.35">
      <c r="B182" s="13" t="s">
        <v>200</v>
      </c>
      <c r="C182" s="19">
        <v>0</v>
      </c>
      <c r="D182" s="20"/>
      <c r="E182" s="19">
        <v>0</v>
      </c>
      <c r="F182" s="20"/>
      <c r="G182" s="19">
        <v>0</v>
      </c>
      <c r="H182" s="20"/>
      <c r="I182" s="19">
        <v>0</v>
      </c>
      <c r="J182" s="20"/>
      <c r="K182" s="19">
        <v>0</v>
      </c>
      <c r="L182" s="20"/>
      <c r="M182" s="19">
        <v>0</v>
      </c>
      <c r="N182" s="20"/>
      <c r="O182" s="19">
        <v>0</v>
      </c>
      <c r="P182" s="20"/>
      <c r="Q182" s="19">
        <v>1</v>
      </c>
      <c r="R182" s="20"/>
      <c r="S182" s="19">
        <v>0</v>
      </c>
      <c r="T182" s="20"/>
      <c r="U182" s="19">
        <v>0</v>
      </c>
      <c r="V182" s="20"/>
      <c r="W182" s="19">
        <v>0</v>
      </c>
      <c r="X182" s="20"/>
      <c r="Y182" s="14">
        <v>0</v>
      </c>
      <c r="Z182" s="121">
        <v>11500</v>
      </c>
      <c r="AA182" s="130">
        <f t="shared" si="43"/>
        <v>1</v>
      </c>
      <c r="AB182" s="131"/>
      <c r="AC182" s="13" t="s">
        <v>200</v>
      </c>
      <c r="AD182" s="154"/>
      <c r="AE182" s="155"/>
      <c r="AF182" s="16">
        <f t="shared" si="46"/>
        <v>11500</v>
      </c>
      <c r="AG182" s="98"/>
      <c r="AH182" s="99"/>
      <c r="AI182" s="99"/>
      <c r="AJ182" s="99"/>
      <c r="AK182" s="99"/>
      <c r="AL182" s="99"/>
      <c r="AM182" s="8"/>
      <c r="AN182" s="8"/>
    </row>
    <row r="183" spans="2:42" s="12" customFormat="1" ht="123.75" customHeight="1" x14ac:dyDescent="2.35">
      <c r="B183" s="13" t="s">
        <v>201</v>
      </c>
      <c r="C183" s="19">
        <v>0</v>
      </c>
      <c r="D183" s="20"/>
      <c r="E183" s="19">
        <v>0</v>
      </c>
      <c r="F183" s="20"/>
      <c r="G183" s="19">
        <v>0</v>
      </c>
      <c r="H183" s="20"/>
      <c r="I183" s="19">
        <v>0</v>
      </c>
      <c r="J183" s="20"/>
      <c r="K183" s="19">
        <v>0</v>
      </c>
      <c r="L183" s="20"/>
      <c r="M183" s="19">
        <v>0</v>
      </c>
      <c r="N183" s="20"/>
      <c r="O183" s="19">
        <v>0</v>
      </c>
      <c r="P183" s="20"/>
      <c r="Q183" s="19">
        <v>0</v>
      </c>
      <c r="R183" s="20"/>
      <c r="S183" s="19">
        <v>0</v>
      </c>
      <c r="T183" s="20"/>
      <c r="U183" s="19">
        <v>0</v>
      </c>
      <c r="V183" s="20"/>
      <c r="W183" s="19">
        <v>0</v>
      </c>
      <c r="X183" s="20"/>
      <c r="Y183" s="14">
        <v>0</v>
      </c>
      <c r="Z183" s="121">
        <v>0</v>
      </c>
      <c r="AA183" s="130">
        <f t="shared" si="43"/>
        <v>0</v>
      </c>
      <c r="AB183" s="131"/>
      <c r="AC183" s="13" t="s">
        <v>201</v>
      </c>
      <c r="AD183" s="154"/>
      <c r="AE183" s="155"/>
      <c r="AF183" s="16">
        <f t="shared" si="46"/>
        <v>0</v>
      </c>
      <c r="AG183" s="98"/>
      <c r="AH183" s="99"/>
      <c r="AI183" s="99"/>
      <c r="AJ183" s="99"/>
      <c r="AK183" s="99"/>
      <c r="AL183" s="99"/>
      <c r="AM183" s="8"/>
      <c r="AN183" s="8"/>
    </row>
    <row r="184" spans="2:42" s="12" customFormat="1" ht="123.75" customHeight="1" x14ac:dyDescent="2.35">
      <c r="B184" s="13" t="s">
        <v>202</v>
      </c>
      <c r="C184" s="19">
        <v>0</v>
      </c>
      <c r="D184" s="20"/>
      <c r="E184" s="19">
        <v>0</v>
      </c>
      <c r="F184" s="20"/>
      <c r="G184" s="19">
        <v>0</v>
      </c>
      <c r="H184" s="20"/>
      <c r="I184" s="19">
        <v>0</v>
      </c>
      <c r="J184" s="20"/>
      <c r="K184" s="19">
        <v>0</v>
      </c>
      <c r="L184" s="20"/>
      <c r="M184" s="19">
        <v>0</v>
      </c>
      <c r="N184" s="20"/>
      <c r="O184" s="19">
        <v>0</v>
      </c>
      <c r="P184" s="20"/>
      <c r="Q184" s="19">
        <v>0</v>
      </c>
      <c r="R184" s="20"/>
      <c r="S184" s="19">
        <v>0</v>
      </c>
      <c r="T184" s="20"/>
      <c r="U184" s="19">
        <v>0</v>
      </c>
      <c r="V184" s="20"/>
      <c r="W184" s="19">
        <v>0</v>
      </c>
      <c r="X184" s="20"/>
      <c r="Y184" s="14">
        <v>0</v>
      </c>
      <c r="Z184" s="121">
        <v>0</v>
      </c>
      <c r="AA184" s="130">
        <f t="shared" si="43"/>
        <v>0</v>
      </c>
      <c r="AB184" s="131"/>
      <c r="AC184" s="13" t="s">
        <v>202</v>
      </c>
      <c r="AD184" s="154"/>
      <c r="AE184" s="155"/>
      <c r="AF184" s="16">
        <f t="shared" si="46"/>
        <v>0</v>
      </c>
      <c r="AG184" s="98"/>
      <c r="AH184" s="99"/>
      <c r="AI184" s="99"/>
      <c r="AJ184" s="99"/>
      <c r="AK184" s="99"/>
      <c r="AL184" s="99"/>
      <c r="AM184" s="8"/>
      <c r="AN184" s="8"/>
    </row>
    <row r="185" spans="2:42" s="12" customFormat="1" ht="123.75" customHeight="1" x14ac:dyDescent="2.35">
      <c r="B185" s="13" t="s">
        <v>203</v>
      </c>
      <c r="C185" s="19">
        <v>0</v>
      </c>
      <c r="D185" s="20"/>
      <c r="E185" s="19">
        <v>0</v>
      </c>
      <c r="F185" s="20"/>
      <c r="G185" s="19">
        <v>0</v>
      </c>
      <c r="H185" s="20"/>
      <c r="I185" s="19">
        <v>0</v>
      </c>
      <c r="J185" s="20"/>
      <c r="K185" s="19">
        <v>0</v>
      </c>
      <c r="L185" s="20"/>
      <c r="M185" s="19">
        <v>0</v>
      </c>
      <c r="N185" s="20"/>
      <c r="O185" s="19">
        <v>0</v>
      </c>
      <c r="P185" s="20"/>
      <c r="Q185" s="19">
        <v>0</v>
      </c>
      <c r="R185" s="20"/>
      <c r="S185" s="19">
        <v>0</v>
      </c>
      <c r="T185" s="20"/>
      <c r="U185" s="19">
        <v>0</v>
      </c>
      <c r="V185" s="20"/>
      <c r="W185" s="19">
        <v>0</v>
      </c>
      <c r="X185" s="20"/>
      <c r="Y185" s="14">
        <v>0</v>
      </c>
      <c r="Z185" s="121">
        <v>0</v>
      </c>
      <c r="AA185" s="130">
        <f t="shared" si="43"/>
        <v>0</v>
      </c>
      <c r="AB185" s="131"/>
      <c r="AC185" s="13" t="s">
        <v>203</v>
      </c>
      <c r="AD185" s="154"/>
      <c r="AE185" s="155"/>
      <c r="AF185" s="16">
        <f t="shared" si="46"/>
        <v>0</v>
      </c>
      <c r="AG185" s="100"/>
      <c r="AH185" s="99"/>
      <c r="AI185" s="99"/>
      <c r="AJ185" s="99"/>
      <c r="AK185" s="99"/>
      <c r="AL185" s="99"/>
      <c r="AM185" s="8"/>
      <c r="AN185" s="8"/>
    </row>
    <row r="186" spans="2:42" s="12" customFormat="1" ht="123.75" customHeight="1" x14ac:dyDescent="2.35">
      <c r="B186" s="13" t="s">
        <v>204</v>
      </c>
      <c r="C186" s="19">
        <v>0</v>
      </c>
      <c r="D186" s="20"/>
      <c r="E186" s="19">
        <v>0</v>
      </c>
      <c r="F186" s="20"/>
      <c r="G186" s="19">
        <v>0</v>
      </c>
      <c r="H186" s="20"/>
      <c r="I186" s="19">
        <v>0</v>
      </c>
      <c r="J186" s="20"/>
      <c r="K186" s="19">
        <v>0</v>
      </c>
      <c r="L186" s="20"/>
      <c r="M186" s="19">
        <v>0</v>
      </c>
      <c r="N186" s="20"/>
      <c r="O186" s="19">
        <v>0</v>
      </c>
      <c r="P186" s="20"/>
      <c r="Q186" s="19">
        <v>0</v>
      </c>
      <c r="R186" s="20"/>
      <c r="S186" s="19">
        <v>0</v>
      </c>
      <c r="T186" s="20"/>
      <c r="U186" s="19">
        <v>0</v>
      </c>
      <c r="V186" s="20"/>
      <c r="W186" s="19">
        <v>0</v>
      </c>
      <c r="X186" s="20"/>
      <c r="Y186" s="14">
        <v>0</v>
      </c>
      <c r="Z186" s="121">
        <v>0</v>
      </c>
      <c r="AA186" s="130">
        <f t="shared" si="43"/>
        <v>0</v>
      </c>
      <c r="AB186" s="131"/>
      <c r="AC186" s="13" t="s">
        <v>204</v>
      </c>
      <c r="AD186" s="154"/>
      <c r="AE186" s="155"/>
      <c r="AF186" s="16">
        <f t="shared" si="46"/>
        <v>0</v>
      </c>
      <c r="AG186" s="100"/>
      <c r="AH186" s="99"/>
      <c r="AI186" s="99"/>
      <c r="AJ186" s="99"/>
      <c r="AK186" s="99"/>
      <c r="AL186" s="99"/>
      <c r="AM186" s="8"/>
      <c r="AN186" s="8"/>
    </row>
    <row r="187" spans="2:42" ht="123.75" customHeight="1" x14ac:dyDescent="2.35">
      <c r="B187" s="79" t="s">
        <v>107</v>
      </c>
      <c r="C187" s="142" t="s">
        <v>2</v>
      </c>
      <c r="D187" s="143"/>
      <c r="E187" s="142" t="s">
        <v>3</v>
      </c>
      <c r="F187" s="143"/>
      <c r="G187" s="142" t="s">
        <v>4</v>
      </c>
      <c r="H187" s="143"/>
      <c r="I187" s="142" t="s">
        <v>5</v>
      </c>
      <c r="J187" s="143"/>
      <c r="K187" s="142" t="s">
        <v>6</v>
      </c>
      <c r="L187" s="143"/>
      <c r="M187" s="142" t="s">
        <v>7</v>
      </c>
      <c r="N187" s="143"/>
      <c r="O187" s="142" t="s">
        <v>8</v>
      </c>
      <c r="P187" s="143"/>
      <c r="Q187" s="142" t="s">
        <v>9</v>
      </c>
      <c r="R187" s="143"/>
      <c r="S187" s="142" t="s">
        <v>10</v>
      </c>
      <c r="T187" s="143"/>
      <c r="U187" s="142" t="s">
        <v>11</v>
      </c>
      <c r="V187" s="143"/>
      <c r="W187" s="142" t="s">
        <v>12</v>
      </c>
      <c r="X187" s="143"/>
      <c r="Y187" s="9" t="s">
        <v>13</v>
      </c>
      <c r="Z187" s="118"/>
      <c r="AA187" s="146" t="s">
        <v>14</v>
      </c>
      <c r="AB187" s="147"/>
      <c r="AC187" s="79" t="s">
        <v>107</v>
      </c>
      <c r="AD187" s="148"/>
      <c r="AE187" s="149"/>
      <c r="AF187" s="6" t="s">
        <v>17</v>
      </c>
      <c r="AG187" s="7"/>
      <c r="AM187" s="8"/>
      <c r="AN187" s="8"/>
    </row>
    <row r="188" spans="2:42" ht="123.75" customHeight="1" x14ac:dyDescent="2.35">
      <c r="B188" s="15" t="s">
        <v>205</v>
      </c>
      <c r="C188" s="130">
        <v>0</v>
      </c>
      <c r="D188" s="131"/>
      <c r="E188" s="130">
        <v>0</v>
      </c>
      <c r="F188" s="131"/>
      <c r="G188" s="130">
        <v>0</v>
      </c>
      <c r="H188" s="131"/>
      <c r="I188" s="130">
        <v>0</v>
      </c>
      <c r="J188" s="131"/>
      <c r="K188" s="130">
        <v>0</v>
      </c>
      <c r="L188" s="131"/>
      <c r="M188" s="130">
        <v>0</v>
      </c>
      <c r="N188" s="131"/>
      <c r="O188" s="130">
        <v>0</v>
      </c>
      <c r="P188" s="131"/>
      <c r="Q188" s="130">
        <v>0</v>
      </c>
      <c r="R188" s="131"/>
      <c r="S188" s="130">
        <v>0</v>
      </c>
      <c r="T188" s="131"/>
      <c r="U188" s="130">
        <v>0</v>
      </c>
      <c r="V188" s="131"/>
      <c r="W188" s="130">
        <v>0</v>
      </c>
      <c r="X188" s="131"/>
      <c r="Y188" s="14">
        <v>0</v>
      </c>
      <c r="Z188" s="121"/>
      <c r="AA188" s="130">
        <f>SUM(C188:Y188)</f>
        <v>0</v>
      </c>
      <c r="AB188" s="131"/>
      <c r="AC188" s="15" t="s">
        <v>205</v>
      </c>
      <c r="AD188" s="152"/>
      <c r="AE188" s="153"/>
      <c r="AF188" s="16">
        <f>Z188</f>
        <v>0</v>
      </c>
      <c r="AG188" s="7"/>
      <c r="AM188" s="8"/>
      <c r="AN188" s="8"/>
    </row>
    <row r="189" spans="2:42" s="2" customFormat="1" ht="123.75" customHeight="1" x14ac:dyDescent="2.35">
      <c r="B189" s="79" t="s">
        <v>206</v>
      </c>
      <c r="C189" s="142" t="s">
        <v>2</v>
      </c>
      <c r="D189" s="143"/>
      <c r="E189" s="142" t="s">
        <v>3</v>
      </c>
      <c r="F189" s="143"/>
      <c r="G189" s="142" t="s">
        <v>4</v>
      </c>
      <c r="H189" s="143"/>
      <c r="I189" s="142" t="s">
        <v>5</v>
      </c>
      <c r="J189" s="143"/>
      <c r="K189" s="142" t="s">
        <v>6</v>
      </c>
      <c r="L189" s="143"/>
      <c r="M189" s="142" t="s">
        <v>7</v>
      </c>
      <c r="N189" s="143"/>
      <c r="O189" s="142" t="s">
        <v>8</v>
      </c>
      <c r="P189" s="143"/>
      <c r="Q189" s="142" t="s">
        <v>9</v>
      </c>
      <c r="R189" s="143"/>
      <c r="S189" s="142" t="s">
        <v>10</v>
      </c>
      <c r="T189" s="143"/>
      <c r="U189" s="142" t="s">
        <v>11</v>
      </c>
      <c r="V189" s="143"/>
      <c r="W189" s="142" t="s">
        <v>12</v>
      </c>
      <c r="X189" s="143"/>
      <c r="Y189" s="9" t="s">
        <v>13</v>
      </c>
      <c r="Z189" s="118"/>
      <c r="AA189" s="146" t="s">
        <v>14</v>
      </c>
      <c r="AB189" s="147"/>
      <c r="AC189" s="79" t="s">
        <v>206</v>
      </c>
      <c r="AD189" s="148"/>
      <c r="AE189" s="149"/>
      <c r="AF189" s="6" t="s">
        <v>17</v>
      </c>
      <c r="AG189" s="7"/>
      <c r="AH189" s="99"/>
      <c r="AI189" s="99"/>
      <c r="AJ189" s="99"/>
      <c r="AK189" s="99"/>
      <c r="AL189" s="99"/>
      <c r="AM189" s="8"/>
      <c r="AN189" s="8"/>
      <c r="AO189" s="12"/>
      <c r="AP189" s="12"/>
    </row>
    <row r="190" spans="2:42" ht="123.75" customHeight="1" x14ac:dyDescent="2.35">
      <c r="B190" s="13" t="s">
        <v>207</v>
      </c>
      <c r="C190" s="19">
        <v>0</v>
      </c>
      <c r="D190" s="20"/>
      <c r="E190" s="19">
        <v>0</v>
      </c>
      <c r="F190" s="20"/>
      <c r="G190" s="19">
        <v>0</v>
      </c>
      <c r="H190" s="20"/>
      <c r="I190" s="19">
        <v>0</v>
      </c>
      <c r="J190" s="20"/>
      <c r="K190" s="19">
        <v>0</v>
      </c>
      <c r="L190" s="20"/>
      <c r="M190" s="19">
        <v>1</v>
      </c>
      <c r="N190" s="20"/>
      <c r="O190" s="19">
        <v>0</v>
      </c>
      <c r="P190" s="20"/>
      <c r="Q190" s="19">
        <v>0</v>
      </c>
      <c r="R190" s="20"/>
      <c r="S190" s="19">
        <v>1</v>
      </c>
      <c r="T190" s="20"/>
      <c r="U190" s="19">
        <v>0</v>
      </c>
      <c r="V190" s="20"/>
      <c r="W190" s="19">
        <v>0</v>
      </c>
      <c r="X190" s="20"/>
      <c r="Y190" s="14">
        <v>0</v>
      </c>
      <c r="Z190" s="123">
        <v>13800</v>
      </c>
      <c r="AA190" s="130">
        <f>SUM(C190:Y190)</f>
        <v>2</v>
      </c>
      <c r="AB190" s="131"/>
      <c r="AC190" s="68" t="s">
        <v>207</v>
      </c>
      <c r="AD190" s="150"/>
      <c r="AE190" s="151"/>
      <c r="AF190" s="16">
        <f>Z190</f>
        <v>13800</v>
      </c>
      <c r="AG190" s="17"/>
      <c r="AO190" s="2"/>
      <c r="AP190" s="2"/>
    </row>
    <row r="191" spans="2:42" s="2" customFormat="1" ht="165" customHeight="1" x14ac:dyDescent="2.35">
      <c r="B191" s="144" t="s">
        <v>212</v>
      </c>
      <c r="C191" s="142" t="s">
        <v>2</v>
      </c>
      <c r="D191" s="143"/>
      <c r="E191" s="142" t="s">
        <v>3</v>
      </c>
      <c r="F191" s="143"/>
      <c r="G191" s="142" t="s">
        <v>4</v>
      </c>
      <c r="H191" s="143"/>
      <c r="I191" s="142" t="s">
        <v>5</v>
      </c>
      <c r="J191" s="143"/>
      <c r="K191" s="142" t="s">
        <v>6</v>
      </c>
      <c r="L191" s="143"/>
      <c r="M191" s="142" t="s">
        <v>7</v>
      </c>
      <c r="N191" s="143"/>
      <c r="O191" s="142" t="s">
        <v>8</v>
      </c>
      <c r="P191" s="143"/>
      <c r="Q191" s="142" t="s">
        <v>9</v>
      </c>
      <c r="R191" s="143"/>
      <c r="S191" s="142" t="s">
        <v>10</v>
      </c>
      <c r="T191" s="143"/>
      <c r="U191" s="142" t="s">
        <v>11</v>
      </c>
      <c r="V191" s="143"/>
      <c r="W191" s="142" t="s">
        <v>12</v>
      </c>
      <c r="X191" s="143"/>
      <c r="Y191" s="9" t="s">
        <v>13</v>
      </c>
      <c r="Z191" s="118"/>
      <c r="AA191" s="137" t="s">
        <v>209</v>
      </c>
      <c r="AB191" s="138"/>
      <c r="AC191" s="139"/>
      <c r="AD191" s="101"/>
      <c r="AE191" s="101"/>
      <c r="AF191" s="102"/>
      <c r="AG191" s="17"/>
      <c r="AM191" s="3"/>
      <c r="AN191" s="3"/>
      <c r="AO191"/>
      <c r="AP191"/>
    </row>
    <row r="192" spans="2:42" s="106" customFormat="1" ht="255" x14ac:dyDescent="3.65">
      <c r="B192" s="145"/>
      <c r="C192" s="140">
        <v>958800</v>
      </c>
      <c r="D192" s="141"/>
      <c r="E192" s="140">
        <v>1821200</v>
      </c>
      <c r="F192" s="141"/>
      <c r="G192" s="140">
        <v>1104700</v>
      </c>
      <c r="H192" s="141"/>
      <c r="I192" s="140">
        <v>1873300</v>
      </c>
      <c r="J192" s="141"/>
      <c r="K192" s="140">
        <v>939700</v>
      </c>
      <c r="L192" s="141"/>
      <c r="M192" s="140">
        <v>549700</v>
      </c>
      <c r="N192" s="141"/>
      <c r="O192" s="140">
        <v>718200</v>
      </c>
      <c r="P192" s="141"/>
      <c r="Q192" s="140">
        <v>1526200</v>
      </c>
      <c r="R192" s="141"/>
      <c r="S192" s="140">
        <v>1720400</v>
      </c>
      <c r="T192" s="141"/>
      <c r="U192" s="140">
        <v>1593700</v>
      </c>
      <c r="V192" s="141"/>
      <c r="W192" s="140">
        <v>1507240</v>
      </c>
      <c r="X192" s="141"/>
      <c r="Y192" s="103">
        <v>1047500</v>
      </c>
      <c r="Z192" s="124"/>
      <c r="AA192" s="132">
        <f>SUM(C192:Y192)</f>
        <v>15360640</v>
      </c>
      <c r="AB192" s="133"/>
      <c r="AC192" s="134"/>
      <c r="AD192" s="104"/>
      <c r="AE192" s="104"/>
      <c r="AF192" s="105"/>
      <c r="AG192" s="102"/>
      <c r="AH192" s="2"/>
      <c r="AI192" s="2"/>
      <c r="AJ192" s="2"/>
      <c r="AK192" s="2"/>
      <c r="AL192" s="2"/>
      <c r="AM192" s="3"/>
      <c r="AN192" s="3"/>
      <c r="AO192" s="2"/>
      <c r="AP192" s="2"/>
    </row>
    <row r="194" spans="3:29" x14ac:dyDescent="2.35">
      <c r="C194" s="135"/>
      <c r="D194" s="135"/>
      <c r="Q194" s="136"/>
      <c r="R194" s="136"/>
      <c r="T194" s="108"/>
      <c r="AC194" s="109"/>
    </row>
    <row r="195" spans="3:29" x14ac:dyDescent="2.35">
      <c r="AC195" s="109"/>
    </row>
  </sheetData>
  <mergeCells count="356">
    <mergeCell ref="B1:AF1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AB2:AB3"/>
    <mergeCell ref="AC2:AC3"/>
    <mergeCell ref="AD2:AE2"/>
    <mergeCell ref="AB4:AB8"/>
    <mergeCell ref="AE4:AE8"/>
    <mergeCell ref="AH4:AL6"/>
    <mergeCell ref="S2:T2"/>
    <mergeCell ref="U2:V2"/>
    <mergeCell ref="W2:X2"/>
    <mergeCell ref="Y2:Y3"/>
    <mergeCell ref="Z2:Z3"/>
    <mergeCell ref="AA2:AA3"/>
    <mergeCell ref="AM4:AN21"/>
    <mergeCell ref="AH7:AL7"/>
    <mergeCell ref="AD10:AD13"/>
    <mergeCell ref="AE10:AE20"/>
    <mergeCell ref="AH10:AL14"/>
    <mergeCell ref="AD15:AD20"/>
    <mergeCell ref="AH15:AL15"/>
    <mergeCell ref="AD21:AE21"/>
    <mergeCell ref="AH21:AL21"/>
    <mergeCell ref="AD22:AE22"/>
    <mergeCell ref="AH22:AL22"/>
    <mergeCell ref="AD23:AE23"/>
    <mergeCell ref="AD24:AE25"/>
    <mergeCell ref="AH24:AL24"/>
    <mergeCell ref="AM24:AN59"/>
    <mergeCell ref="AH25:AL25"/>
    <mergeCell ref="AD26:AE26"/>
    <mergeCell ref="AD27:AE28"/>
    <mergeCell ref="AH27:AL27"/>
    <mergeCell ref="AD33:AE34"/>
    <mergeCell ref="AH33:AL33"/>
    <mergeCell ref="AH34:AL34"/>
    <mergeCell ref="AD35:AE35"/>
    <mergeCell ref="AD36:AE37"/>
    <mergeCell ref="AH36:AL36"/>
    <mergeCell ref="AH37:AL37"/>
    <mergeCell ref="AH28:AL28"/>
    <mergeCell ref="AD29:AE29"/>
    <mergeCell ref="AD30:AE31"/>
    <mergeCell ref="AH30:AL30"/>
    <mergeCell ref="AH31:AL31"/>
    <mergeCell ref="AD32:AE32"/>
    <mergeCell ref="AH42:AL42"/>
    <mergeCell ref="AH47:AL47"/>
    <mergeCell ref="AD38:AE38"/>
    <mergeCell ref="AD39:AE39"/>
    <mergeCell ref="C40:D40"/>
    <mergeCell ref="E40:F40"/>
    <mergeCell ref="G40:H40"/>
    <mergeCell ref="I40:J40"/>
    <mergeCell ref="K40:L40"/>
    <mergeCell ref="M40:N40"/>
    <mergeCell ref="O40:P40"/>
    <mergeCell ref="Q40:R40"/>
    <mergeCell ref="B60:B61"/>
    <mergeCell ref="C60:D60"/>
    <mergeCell ref="E60:F60"/>
    <mergeCell ref="G60:H60"/>
    <mergeCell ref="I60:J60"/>
    <mergeCell ref="S40:T40"/>
    <mergeCell ref="U40:V40"/>
    <mergeCell ref="W40:X40"/>
    <mergeCell ref="AD40:AE40"/>
    <mergeCell ref="AD42:AE47"/>
    <mergeCell ref="AC60:AC61"/>
    <mergeCell ref="AD60:AE60"/>
    <mergeCell ref="K60:L60"/>
    <mergeCell ref="M60:N60"/>
    <mergeCell ref="O60:P60"/>
    <mergeCell ref="Q60:R60"/>
    <mergeCell ref="S60:T60"/>
    <mergeCell ref="U60:V60"/>
    <mergeCell ref="AD48:AE51"/>
    <mergeCell ref="AD54:AE54"/>
    <mergeCell ref="AD55:AE55"/>
    <mergeCell ref="AE57:AE58"/>
    <mergeCell ref="AD59:AE59"/>
    <mergeCell ref="C70:D70"/>
    <mergeCell ref="E70:F70"/>
    <mergeCell ref="G70:H70"/>
    <mergeCell ref="I70:J70"/>
    <mergeCell ref="K70:L70"/>
    <mergeCell ref="W60:X60"/>
    <mergeCell ref="Y60:Y61"/>
    <mergeCell ref="AA60:AA61"/>
    <mergeCell ref="AB60:AB61"/>
    <mergeCell ref="M70:N70"/>
    <mergeCell ref="O70:P70"/>
    <mergeCell ref="Q70:R70"/>
    <mergeCell ref="S70:T70"/>
    <mergeCell ref="U70:V70"/>
    <mergeCell ref="W70:X70"/>
    <mergeCell ref="AD62:AE67"/>
    <mergeCell ref="AH63:AL63"/>
    <mergeCell ref="AH64:AL64"/>
    <mergeCell ref="AD68:AE68"/>
    <mergeCell ref="AD69:AE69"/>
    <mergeCell ref="AD70:AE70"/>
    <mergeCell ref="AD71:AE72"/>
    <mergeCell ref="AH71:AL71"/>
    <mergeCell ref="AM71:AN78"/>
    <mergeCell ref="AH72:AL72"/>
    <mergeCell ref="AD73:AE73"/>
    <mergeCell ref="AD74:AE75"/>
    <mergeCell ref="AH74:AL74"/>
    <mergeCell ref="AH75:AL75"/>
    <mergeCell ref="AD76:AE77"/>
    <mergeCell ref="AM80:AN86"/>
    <mergeCell ref="AH81:AL81"/>
    <mergeCell ref="AD82:AE82"/>
    <mergeCell ref="AD83:AE83"/>
    <mergeCell ref="AD84:AE84"/>
    <mergeCell ref="AD85:AE85"/>
    <mergeCell ref="AD86:AE86"/>
    <mergeCell ref="AH76:AL76"/>
    <mergeCell ref="AH77:AL77"/>
    <mergeCell ref="AD78:AE79"/>
    <mergeCell ref="AH78:AL78"/>
    <mergeCell ref="AH79:AL79"/>
    <mergeCell ref="AD80:AE81"/>
    <mergeCell ref="AH80:AL80"/>
    <mergeCell ref="O87:P87"/>
    <mergeCell ref="Q87:R87"/>
    <mergeCell ref="S87:T87"/>
    <mergeCell ref="U87:V87"/>
    <mergeCell ref="W87:X87"/>
    <mergeCell ref="AD87:AE87"/>
    <mergeCell ref="C87:D87"/>
    <mergeCell ref="E87:F87"/>
    <mergeCell ref="G87:H87"/>
    <mergeCell ref="I87:J87"/>
    <mergeCell ref="K87:L87"/>
    <mergeCell ref="M87:N87"/>
    <mergeCell ref="AM87:AN112"/>
    <mergeCell ref="AD88:AE88"/>
    <mergeCell ref="AD90:AE90"/>
    <mergeCell ref="AD91:AE91"/>
    <mergeCell ref="AD92:AE92"/>
    <mergeCell ref="AD93:AE102"/>
    <mergeCell ref="AH93:AL97"/>
    <mergeCell ref="AH98:AL98"/>
    <mergeCell ref="AH100:AL100"/>
    <mergeCell ref="AD103:AE103"/>
    <mergeCell ref="AB105:AB106"/>
    <mergeCell ref="AC105:AC106"/>
    <mergeCell ref="AD105:AE105"/>
    <mergeCell ref="AD107:AE111"/>
    <mergeCell ref="AH111:AL111"/>
    <mergeCell ref="AD112:AE125"/>
    <mergeCell ref="AH112:AL117"/>
    <mergeCell ref="Q105:R105"/>
    <mergeCell ref="S105:T105"/>
    <mergeCell ref="U105:V105"/>
    <mergeCell ref="W105:X105"/>
    <mergeCell ref="Y105:Y106"/>
    <mergeCell ref="AA105:AA106"/>
    <mergeCell ref="AH103:AL107"/>
    <mergeCell ref="B104:AF104"/>
    <mergeCell ref="B105:B106"/>
    <mergeCell ref="C105:D105"/>
    <mergeCell ref="E105:F105"/>
    <mergeCell ref="G105:H105"/>
    <mergeCell ref="I105:J105"/>
    <mergeCell ref="K105:L105"/>
    <mergeCell ref="M105:N105"/>
    <mergeCell ref="O105:P105"/>
    <mergeCell ref="AM113:AN137"/>
    <mergeCell ref="AH118:AL118"/>
    <mergeCell ref="AH119:AL119"/>
    <mergeCell ref="AD126:AE136"/>
    <mergeCell ref="AH126:AL127"/>
    <mergeCell ref="AH129:AL129"/>
    <mergeCell ref="AH136:AL136"/>
    <mergeCell ref="AD137:AE137"/>
    <mergeCell ref="AH137:AL137"/>
    <mergeCell ref="O138:P138"/>
    <mergeCell ref="Q138:R138"/>
    <mergeCell ref="S138:T138"/>
    <mergeCell ref="U138:V138"/>
    <mergeCell ref="W138:X138"/>
    <mergeCell ref="AD138:AE138"/>
    <mergeCell ref="C138:D138"/>
    <mergeCell ref="E138:F138"/>
    <mergeCell ref="G138:H138"/>
    <mergeCell ref="I138:J138"/>
    <mergeCell ref="K138:L138"/>
    <mergeCell ref="M138:N138"/>
    <mergeCell ref="AD139:AE140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B155:B156"/>
    <mergeCell ref="C155:D155"/>
    <mergeCell ref="E155:F155"/>
    <mergeCell ref="G155:H155"/>
    <mergeCell ref="I155:J155"/>
    <mergeCell ref="K155:L155"/>
    <mergeCell ref="U141:V141"/>
    <mergeCell ref="W141:X141"/>
    <mergeCell ref="AD141:AE141"/>
    <mergeCell ref="AD142:AE152"/>
    <mergeCell ref="AD153:AE153"/>
    <mergeCell ref="B154:AF154"/>
    <mergeCell ref="AC155:AC156"/>
    <mergeCell ref="AD155:AE155"/>
    <mergeCell ref="AD157:AE162"/>
    <mergeCell ref="M155:N155"/>
    <mergeCell ref="O155:P155"/>
    <mergeCell ref="Q155:R155"/>
    <mergeCell ref="S155:T155"/>
    <mergeCell ref="U155:V155"/>
    <mergeCell ref="W155:X155"/>
    <mergeCell ref="C163:D163"/>
    <mergeCell ref="E163:F163"/>
    <mergeCell ref="G163:H163"/>
    <mergeCell ref="I163:J163"/>
    <mergeCell ref="K163:L163"/>
    <mergeCell ref="M163:N163"/>
    <mergeCell ref="Y155:Y156"/>
    <mergeCell ref="AA155:AA156"/>
    <mergeCell ref="AB155:AB156"/>
    <mergeCell ref="AH164:AL167"/>
    <mergeCell ref="AA165:AB165"/>
    <mergeCell ref="AA166:AB166"/>
    <mergeCell ref="AA167:AB167"/>
    <mergeCell ref="AA168:AB168"/>
    <mergeCell ref="AH168:AL168"/>
    <mergeCell ref="AA169:AB169"/>
    <mergeCell ref="O163:P163"/>
    <mergeCell ref="Q163:R163"/>
    <mergeCell ref="S163:T163"/>
    <mergeCell ref="U163:V163"/>
    <mergeCell ref="W163:X163"/>
    <mergeCell ref="AA163:AB163"/>
    <mergeCell ref="AA170:AB170"/>
    <mergeCell ref="AA171:AB171"/>
    <mergeCell ref="AA172:AB172"/>
    <mergeCell ref="AD172:AE172"/>
    <mergeCell ref="AA173:AB173"/>
    <mergeCell ref="AD173:AE173"/>
    <mergeCell ref="AD163:AE163"/>
    <mergeCell ref="AA164:AB164"/>
    <mergeCell ref="AD164:AE171"/>
    <mergeCell ref="AA177:AB177"/>
    <mergeCell ref="AD177:AE177"/>
    <mergeCell ref="AA178:AB178"/>
    <mergeCell ref="AD178:AE178"/>
    <mergeCell ref="AI178:AK178"/>
    <mergeCell ref="AA179:AB179"/>
    <mergeCell ref="AD179:AE179"/>
    <mergeCell ref="AA174:AB174"/>
    <mergeCell ref="AD174:AE174"/>
    <mergeCell ref="AA175:AB175"/>
    <mergeCell ref="AD175:AE175"/>
    <mergeCell ref="AA176:AB176"/>
    <mergeCell ref="AD176:AE176"/>
    <mergeCell ref="AA183:AB183"/>
    <mergeCell ref="AD183:AE183"/>
    <mergeCell ref="AA184:AB184"/>
    <mergeCell ref="AD184:AE184"/>
    <mergeCell ref="AA185:AB185"/>
    <mergeCell ref="AD185:AE185"/>
    <mergeCell ref="AA180:AB180"/>
    <mergeCell ref="AD180:AE180"/>
    <mergeCell ref="AA181:AB181"/>
    <mergeCell ref="AD181:AE181"/>
    <mergeCell ref="AA182:AB182"/>
    <mergeCell ref="AD182:AE182"/>
    <mergeCell ref="AA186:AB186"/>
    <mergeCell ref="AD186:AE186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AA187:AB187"/>
    <mergeCell ref="AD187:AE187"/>
    <mergeCell ref="AD189:AE189"/>
    <mergeCell ref="AA190:AB190"/>
    <mergeCell ref="AD190:AE190"/>
    <mergeCell ref="AA188:AB188"/>
    <mergeCell ref="AD188:AE188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M188:N188"/>
    <mergeCell ref="O188:P188"/>
    <mergeCell ref="Q188:R188"/>
    <mergeCell ref="S188:T188"/>
    <mergeCell ref="U188:V188"/>
    <mergeCell ref="W188:X188"/>
    <mergeCell ref="C188:D188"/>
    <mergeCell ref="E188:F188"/>
    <mergeCell ref="G188:H188"/>
    <mergeCell ref="I188:J188"/>
    <mergeCell ref="B191:B192"/>
    <mergeCell ref="C191:D191"/>
    <mergeCell ref="E191:F191"/>
    <mergeCell ref="G191:H191"/>
    <mergeCell ref="I191:J191"/>
    <mergeCell ref="K191:L191"/>
    <mergeCell ref="S189:T189"/>
    <mergeCell ref="U189:V189"/>
    <mergeCell ref="W189:X189"/>
    <mergeCell ref="U192:V192"/>
    <mergeCell ref="W192:X192"/>
    <mergeCell ref="K188:L188"/>
    <mergeCell ref="AA192:AC192"/>
    <mergeCell ref="C194:D194"/>
    <mergeCell ref="Q194:R194"/>
    <mergeCell ref="AA191:AC191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M191:N191"/>
    <mergeCell ref="O191:P191"/>
    <mergeCell ref="Q191:R191"/>
    <mergeCell ref="S191:T191"/>
    <mergeCell ref="U191:V191"/>
    <mergeCell ref="W191:X191"/>
    <mergeCell ref="AA189:AB189"/>
  </mergeCells>
  <pageMargins left="1.1023622047244095" right="0.70866141732283472" top="0.74803149606299213" bottom="0.74803149606299213" header="0.31496062992125984" footer="0.31496062992125984"/>
  <pageSetup paperSize="5" scale="10" orientation="landscape" verticalDpi="0" r:id="rId1"/>
  <rowBreaks count="4" manualBreakCount="4">
    <brk id="39" min="1" max="40" man="1"/>
    <brk id="59" min="1" max="41" man="1"/>
    <brk id="103" min="1" max="40" man="1"/>
    <brk id="153" min="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4288-47FF-42B2-8FFA-CACC0996927D}">
  <dimension ref="A1:AN196"/>
  <sheetViews>
    <sheetView view="pageBreakPreview" zoomScale="10" zoomScaleNormal="10" zoomScaleSheetLayoutView="10" workbookViewId="0">
      <selection activeCell="N24" sqref="N24"/>
    </sheetView>
  </sheetViews>
  <sheetFormatPr baseColWidth="10" defaultRowHeight="165" x14ac:dyDescent="2.35"/>
  <cols>
    <col min="1" max="1" width="18.5703125" customWidth="1"/>
    <col min="2" max="2" width="192" style="107" customWidth="1"/>
    <col min="3" max="22" width="58.7109375" style="54" customWidth="1"/>
    <col min="23" max="23" width="84.28515625" style="54" customWidth="1"/>
    <col min="24" max="24" width="95.7109375" style="125" customWidth="1"/>
    <col min="25" max="25" width="73" style="54" bestFit="1" customWidth="1"/>
    <col min="26" max="26" width="115.42578125" style="54" customWidth="1"/>
    <col min="27" max="27" width="177.5703125" style="110" customWidth="1"/>
    <col min="28" max="29" width="63" style="110" bestFit="1" customWidth="1"/>
    <col min="30" max="30" width="132" style="102" customWidth="1"/>
    <col min="31" max="31" width="33.28515625" style="102" customWidth="1"/>
    <col min="32" max="32" width="22.7109375" style="2" customWidth="1"/>
    <col min="33" max="33" width="32.5703125" style="2" customWidth="1"/>
    <col min="34" max="34" width="23.28515625" style="2" customWidth="1"/>
    <col min="35" max="35" width="11.42578125" style="2"/>
    <col min="36" max="36" width="35.28515625" style="2" customWidth="1"/>
    <col min="37" max="37" width="31.5703125" style="3" customWidth="1"/>
    <col min="38" max="38" width="11.42578125" style="3"/>
  </cols>
  <sheetData>
    <row r="1" spans="1:40" ht="126" customHeight="1" x14ac:dyDescent="2.35">
      <c r="B1" s="174" t="s">
        <v>215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"/>
      <c r="AF1" s="1"/>
    </row>
    <row r="2" spans="1:40" s="4" customFormat="1" ht="138" customHeight="1" x14ac:dyDescent="2.35">
      <c r="B2" s="172" t="s">
        <v>1</v>
      </c>
      <c r="C2" s="142" t="s">
        <v>2</v>
      </c>
      <c r="D2" s="143"/>
      <c r="E2" s="142" t="s">
        <v>3</v>
      </c>
      <c r="F2" s="143"/>
      <c r="G2" s="142" t="s">
        <v>4</v>
      </c>
      <c r="H2" s="143"/>
      <c r="I2" s="142" t="s">
        <v>5</v>
      </c>
      <c r="J2" s="143"/>
      <c r="K2" s="142" t="s">
        <v>6</v>
      </c>
      <c r="L2" s="143"/>
      <c r="M2" s="142" t="s">
        <v>8</v>
      </c>
      <c r="N2" s="143"/>
      <c r="O2" s="142" t="s">
        <v>9</v>
      </c>
      <c r="P2" s="143"/>
      <c r="Q2" s="142" t="s">
        <v>10</v>
      </c>
      <c r="R2" s="143"/>
      <c r="S2" s="142" t="s">
        <v>11</v>
      </c>
      <c r="T2" s="143"/>
      <c r="U2" s="142" t="s">
        <v>12</v>
      </c>
      <c r="V2" s="143"/>
      <c r="W2" s="172" t="s">
        <v>13</v>
      </c>
      <c r="X2" s="247" t="s">
        <v>210</v>
      </c>
      <c r="Y2" s="172" t="s">
        <v>14</v>
      </c>
      <c r="Z2" s="172" t="s">
        <v>15</v>
      </c>
      <c r="AA2" s="172" t="s">
        <v>1</v>
      </c>
      <c r="AB2" s="148" t="s">
        <v>16</v>
      </c>
      <c r="AC2" s="149"/>
      <c r="AD2" s="6" t="s">
        <v>17</v>
      </c>
      <c r="AE2" s="7"/>
      <c r="AF2" s="2"/>
      <c r="AG2" s="2"/>
      <c r="AH2" s="2"/>
      <c r="AI2" s="2"/>
      <c r="AJ2" s="2"/>
      <c r="AK2" s="8"/>
      <c r="AL2" s="8"/>
    </row>
    <row r="3" spans="1:40" s="4" customFormat="1" ht="138" customHeight="1" thickBot="1" x14ac:dyDescent="2.4">
      <c r="B3" s="173"/>
      <c r="C3" s="9" t="s">
        <v>18</v>
      </c>
      <c r="D3" s="9" t="s">
        <v>19</v>
      </c>
      <c r="E3" s="9" t="s">
        <v>18</v>
      </c>
      <c r="F3" s="9" t="s">
        <v>19</v>
      </c>
      <c r="G3" s="9" t="s">
        <v>18</v>
      </c>
      <c r="H3" s="9" t="s">
        <v>19</v>
      </c>
      <c r="I3" s="9" t="s">
        <v>18</v>
      </c>
      <c r="J3" s="9" t="s">
        <v>19</v>
      </c>
      <c r="K3" s="9" t="s">
        <v>18</v>
      </c>
      <c r="L3" s="9" t="s">
        <v>19</v>
      </c>
      <c r="M3" s="9" t="s">
        <v>18</v>
      </c>
      <c r="N3" s="9" t="s">
        <v>19</v>
      </c>
      <c r="O3" s="9" t="s">
        <v>18</v>
      </c>
      <c r="P3" s="9" t="s">
        <v>19</v>
      </c>
      <c r="Q3" s="9" t="s">
        <v>18</v>
      </c>
      <c r="R3" s="9" t="s">
        <v>19</v>
      </c>
      <c r="S3" s="9" t="s">
        <v>18</v>
      </c>
      <c r="T3" s="9" t="s">
        <v>19</v>
      </c>
      <c r="U3" s="9" t="s">
        <v>18</v>
      </c>
      <c r="V3" s="9" t="s">
        <v>19</v>
      </c>
      <c r="W3" s="173"/>
      <c r="X3" s="248"/>
      <c r="Y3" s="173"/>
      <c r="Z3" s="173"/>
      <c r="AA3" s="173"/>
      <c r="AB3" s="10"/>
      <c r="AC3" s="11"/>
      <c r="AD3" s="6"/>
      <c r="AE3" s="7"/>
      <c r="AF3" s="2"/>
      <c r="AG3" s="2"/>
      <c r="AH3" s="2"/>
      <c r="AI3" s="2"/>
      <c r="AJ3" s="2"/>
      <c r="AK3" s="8"/>
      <c r="AL3" s="8"/>
    </row>
    <row r="4" spans="1:40" s="12" customFormat="1" ht="110.25" customHeight="1" x14ac:dyDescent="2.1">
      <c r="B4" s="13" t="s">
        <v>20</v>
      </c>
      <c r="C4" s="14">
        <v>0</v>
      </c>
      <c r="D4" s="14">
        <v>17</v>
      </c>
      <c r="E4" s="14">
        <v>0</v>
      </c>
      <c r="F4" s="14">
        <v>10</v>
      </c>
      <c r="G4" s="14">
        <v>1</v>
      </c>
      <c r="H4" s="14">
        <v>51</v>
      </c>
      <c r="I4" s="14">
        <v>4</v>
      </c>
      <c r="J4" s="14">
        <v>26</v>
      </c>
      <c r="K4" s="14">
        <v>0</v>
      </c>
      <c r="L4" s="14">
        <v>4</v>
      </c>
      <c r="M4" s="14">
        <v>12</v>
      </c>
      <c r="N4" s="14">
        <v>26</v>
      </c>
      <c r="O4" s="14">
        <v>0</v>
      </c>
      <c r="P4" s="14">
        <v>33</v>
      </c>
      <c r="Q4" s="14">
        <v>0</v>
      </c>
      <c r="R4" s="14">
        <v>15</v>
      </c>
      <c r="S4" s="14">
        <v>1</v>
      </c>
      <c r="T4" s="14">
        <v>32</v>
      </c>
      <c r="U4" s="14">
        <v>6</v>
      </c>
      <c r="V4" s="14">
        <v>34</v>
      </c>
      <c r="W4" s="14">
        <v>0</v>
      </c>
      <c r="X4" s="113">
        <v>168000</v>
      </c>
      <c r="Y4" s="14">
        <f>SUM(C4,E4,G4,I4,K4,,M4,O4,Q4,S4,U4,W4)</f>
        <v>24</v>
      </c>
      <c r="Z4" s="244">
        <f>SUM(D9,F9,H9,J9,L9,,N9,P9,R9,T9,V9)</f>
        <v>248</v>
      </c>
      <c r="AA4" s="15" t="s">
        <v>20</v>
      </c>
      <c r="AC4" s="160">
        <f>SUM(Y4,AB5,AB6,AB7,AB8)</f>
        <v>120</v>
      </c>
      <c r="AD4" s="16">
        <f>X4</f>
        <v>168000</v>
      </c>
      <c r="AE4" s="17"/>
      <c r="AF4" s="188" t="s">
        <v>21</v>
      </c>
      <c r="AG4" s="189"/>
      <c r="AH4" s="189"/>
      <c r="AI4" s="189"/>
      <c r="AJ4" s="190"/>
      <c r="AK4" s="237">
        <f>SUM(AD4:AD59)-AD20</f>
        <v>11771700</v>
      </c>
      <c r="AL4" s="238"/>
    </row>
    <row r="5" spans="1:40" s="12" customFormat="1" ht="110.25" customHeight="1" x14ac:dyDescent="2.1">
      <c r="B5" s="13" t="s">
        <v>22</v>
      </c>
      <c r="C5" s="19">
        <v>0</v>
      </c>
      <c r="D5" s="20"/>
      <c r="E5" s="19">
        <v>0</v>
      </c>
      <c r="F5" s="20"/>
      <c r="G5" s="19">
        <v>0</v>
      </c>
      <c r="H5" s="20"/>
      <c r="I5" s="19">
        <v>0</v>
      </c>
      <c r="J5" s="20"/>
      <c r="K5" s="19">
        <v>0</v>
      </c>
      <c r="L5" s="20"/>
      <c r="M5" s="19">
        <v>0</v>
      </c>
      <c r="N5" s="20"/>
      <c r="O5" s="19">
        <v>0</v>
      </c>
      <c r="P5" s="20"/>
      <c r="Q5" s="19">
        <v>0</v>
      </c>
      <c r="R5" s="20"/>
      <c r="S5" s="19">
        <v>0</v>
      </c>
      <c r="T5" s="20"/>
      <c r="U5" s="19">
        <v>0</v>
      </c>
      <c r="V5" s="20"/>
      <c r="W5" s="14">
        <v>0</v>
      </c>
      <c r="X5" s="113">
        <v>0</v>
      </c>
      <c r="Y5" s="14">
        <f>SUM(C5:W5)</f>
        <v>0</v>
      </c>
      <c r="Z5" s="245"/>
      <c r="AA5" s="13" t="s">
        <v>22</v>
      </c>
      <c r="AB5" s="21">
        <f>Y5*4</f>
        <v>0</v>
      </c>
      <c r="AC5" s="162"/>
      <c r="AD5" s="16">
        <f>X5</f>
        <v>0</v>
      </c>
      <c r="AE5" s="17"/>
      <c r="AF5" s="191"/>
      <c r="AG5" s="192"/>
      <c r="AH5" s="192"/>
      <c r="AI5" s="192"/>
      <c r="AJ5" s="193"/>
      <c r="AK5" s="239"/>
      <c r="AL5" s="238"/>
    </row>
    <row r="6" spans="1:40" s="12" customFormat="1" ht="110.25" customHeight="1" x14ac:dyDescent="2.1">
      <c r="B6" s="13" t="s">
        <v>23</v>
      </c>
      <c r="C6" s="19">
        <v>1</v>
      </c>
      <c r="D6" s="20"/>
      <c r="E6" s="19">
        <v>0</v>
      </c>
      <c r="F6" s="20"/>
      <c r="G6" s="19">
        <v>0</v>
      </c>
      <c r="H6" s="20"/>
      <c r="I6" s="19">
        <v>1</v>
      </c>
      <c r="J6" s="20"/>
      <c r="K6" s="19">
        <v>1</v>
      </c>
      <c r="L6" s="20"/>
      <c r="M6" s="19">
        <v>0</v>
      </c>
      <c r="N6" s="20"/>
      <c r="O6" s="19">
        <v>0</v>
      </c>
      <c r="P6" s="20"/>
      <c r="Q6" s="19">
        <v>0</v>
      </c>
      <c r="R6" s="20"/>
      <c r="S6" s="19">
        <v>0</v>
      </c>
      <c r="T6" s="20"/>
      <c r="U6" s="19">
        <v>0</v>
      </c>
      <c r="V6" s="20"/>
      <c r="W6" s="14">
        <v>0</v>
      </c>
      <c r="X6" s="113">
        <v>173600</v>
      </c>
      <c r="Y6" s="14">
        <f>SUM(C6:W6)</f>
        <v>3</v>
      </c>
      <c r="Z6" s="245"/>
      <c r="AA6" s="15" t="s">
        <v>24</v>
      </c>
      <c r="AB6" s="21">
        <f>Y6*8</f>
        <v>24</v>
      </c>
      <c r="AC6" s="162"/>
      <c r="AD6" s="16">
        <f t="shared" ref="AD6:AD7" si="0">X6</f>
        <v>173600</v>
      </c>
      <c r="AE6" s="17"/>
      <c r="AF6" s="191"/>
      <c r="AG6" s="192"/>
      <c r="AH6" s="192"/>
      <c r="AI6" s="192"/>
      <c r="AJ6" s="193"/>
      <c r="AK6" s="239"/>
      <c r="AL6" s="238"/>
    </row>
    <row r="7" spans="1:40" s="12" customFormat="1" ht="110.25" customHeight="1" x14ac:dyDescent="2.1">
      <c r="B7" s="13" t="s">
        <v>25</v>
      </c>
      <c r="C7" s="19">
        <v>0</v>
      </c>
      <c r="D7" s="20"/>
      <c r="E7" s="19">
        <v>2</v>
      </c>
      <c r="F7" s="20"/>
      <c r="G7" s="19">
        <v>0</v>
      </c>
      <c r="H7" s="20"/>
      <c r="I7" s="19">
        <v>0</v>
      </c>
      <c r="J7" s="20"/>
      <c r="K7" s="19">
        <v>1</v>
      </c>
      <c r="L7" s="20"/>
      <c r="M7" s="19">
        <v>0</v>
      </c>
      <c r="N7" s="20"/>
      <c r="O7" s="19">
        <v>0</v>
      </c>
      <c r="P7" s="20"/>
      <c r="Q7" s="19">
        <v>1</v>
      </c>
      <c r="R7" s="20"/>
      <c r="S7" s="19">
        <v>1</v>
      </c>
      <c r="T7" s="20"/>
      <c r="U7" s="19">
        <v>1</v>
      </c>
      <c r="V7" s="20"/>
      <c r="W7" s="14">
        <v>0</v>
      </c>
      <c r="X7" s="113">
        <v>512400</v>
      </c>
      <c r="Y7" s="14">
        <f>SUM(C7:W7)</f>
        <v>6</v>
      </c>
      <c r="Z7" s="245"/>
      <c r="AA7" s="15" t="s">
        <v>26</v>
      </c>
      <c r="AB7" s="21">
        <f>Y7*12</f>
        <v>72</v>
      </c>
      <c r="AC7" s="162"/>
      <c r="AD7" s="16">
        <f t="shared" si="0"/>
        <v>512400</v>
      </c>
      <c r="AE7" s="17"/>
      <c r="AF7" s="171">
        <f>SUM(AD4:AD8)</f>
        <v>854000</v>
      </c>
      <c r="AG7" s="169"/>
      <c r="AH7" s="169"/>
      <c r="AI7" s="169"/>
      <c r="AJ7" s="170"/>
      <c r="AK7" s="239"/>
      <c r="AL7" s="238"/>
    </row>
    <row r="8" spans="1:40" s="12" customFormat="1" ht="146.25" x14ac:dyDescent="2.1">
      <c r="B8" s="13" t="s">
        <v>27</v>
      </c>
      <c r="C8" s="19">
        <v>0</v>
      </c>
      <c r="D8" s="20"/>
      <c r="E8" s="19">
        <v>0</v>
      </c>
      <c r="F8" s="20"/>
      <c r="G8" s="19">
        <v>0</v>
      </c>
      <c r="H8" s="20"/>
      <c r="I8" s="19">
        <v>0</v>
      </c>
      <c r="J8" s="20"/>
      <c r="K8" s="19">
        <v>0</v>
      </c>
      <c r="L8" s="20"/>
      <c r="M8" s="19">
        <v>0</v>
      </c>
      <c r="N8" s="20"/>
      <c r="O8" s="19">
        <v>0</v>
      </c>
      <c r="P8" s="20"/>
      <c r="Q8" s="19">
        <v>0</v>
      </c>
      <c r="R8" s="20"/>
      <c r="S8" s="19">
        <v>0</v>
      </c>
      <c r="T8" s="20"/>
      <c r="U8" s="19">
        <v>0</v>
      </c>
      <c r="V8" s="20"/>
      <c r="W8" s="14">
        <v>0</v>
      </c>
      <c r="X8" s="113">
        <v>0</v>
      </c>
      <c r="Y8" s="14">
        <f>SUM(C8:W8)</f>
        <v>0</v>
      </c>
      <c r="Z8" s="246"/>
      <c r="AA8" s="15" t="s">
        <v>28</v>
      </c>
      <c r="AB8" s="21">
        <f>Y8*16</f>
        <v>0</v>
      </c>
      <c r="AC8" s="164"/>
      <c r="AD8" s="16">
        <f>X8</f>
        <v>0</v>
      </c>
      <c r="AE8" s="17"/>
      <c r="AF8" s="26"/>
      <c r="AG8" s="27"/>
      <c r="AH8" s="27"/>
      <c r="AI8" s="27"/>
      <c r="AJ8" s="28"/>
      <c r="AK8" s="239"/>
      <c r="AL8" s="238"/>
      <c r="AM8" s="29"/>
      <c r="AN8" s="29"/>
    </row>
    <row r="9" spans="1:40" s="12" customFormat="1" ht="110.25" customHeight="1" thickBot="1" x14ac:dyDescent="2.15">
      <c r="B9" s="13"/>
      <c r="C9" s="30">
        <f>C4+(C5*4)+(C6*8)+(C7*12)+(C8*16)</f>
        <v>8</v>
      </c>
      <c r="D9" s="30">
        <f>D4</f>
        <v>17</v>
      </c>
      <c r="E9" s="30">
        <f>E4+(E5*4)+(E6*8)+(E7*12)+(E8*16)</f>
        <v>24</v>
      </c>
      <c r="F9" s="30">
        <f>F4</f>
        <v>10</v>
      </c>
      <c r="G9" s="30">
        <f>G4+(G5*4)+(G6*8)+(G7*12)+(G8*16)</f>
        <v>1</v>
      </c>
      <c r="H9" s="30">
        <f>H4</f>
        <v>51</v>
      </c>
      <c r="I9" s="30">
        <f>I4+(I5*4)+(I6*8)+(I7*12)+(I8*16)</f>
        <v>12</v>
      </c>
      <c r="J9" s="30">
        <f>J4</f>
        <v>26</v>
      </c>
      <c r="K9" s="30">
        <f>K4+(K5*4)+(K6*8)+(K7*12)+(K8*16)</f>
        <v>20</v>
      </c>
      <c r="L9" s="30">
        <f>L4</f>
        <v>4</v>
      </c>
      <c r="M9" s="30">
        <f>M4+(M5*4)+(M6*8)+(M7*12)+(M8*16)</f>
        <v>12</v>
      </c>
      <c r="N9" s="30">
        <f>N4</f>
        <v>26</v>
      </c>
      <c r="O9" s="30">
        <f>O4+(O5*4)+(O6*8)+(O7*12)+(O8*16)</f>
        <v>0</v>
      </c>
      <c r="P9" s="30">
        <f>P4</f>
        <v>33</v>
      </c>
      <c r="Q9" s="30">
        <f>Q4+(Q5*4)+(Q6*8)+(Q7*12)+(Q8*16)</f>
        <v>12</v>
      </c>
      <c r="R9" s="30">
        <f>R4</f>
        <v>15</v>
      </c>
      <c r="S9" s="30">
        <f>S4+(S5*4)+(S6*8)+(S7*12)+(S8*16)</f>
        <v>13</v>
      </c>
      <c r="T9" s="30">
        <f>T4</f>
        <v>32</v>
      </c>
      <c r="U9" s="30">
        <f>U4+(U5*4)+(U6*8)+(U7*12)+(U8*16)</f>
        <v>18</v>
      </c>
      <c r="V9" s="30">
        <f>V4</f>
        <v>34</v>
      </c>
      <c r="W9" s="30">
        <f>W4+(W5*4)+(W6*8)+(W7*12)+(W8*16)</f>
        <v>0</v>
      </c>
      <c r="X9" s="114"/>
      <c r="Y9" s="14"/>
      <c r="Z9" s="14"/>
      <c r="AA9" s="15"/>
      <c r="AB9" s="31"/>
      <c r="AC9" s="32"/>
      <c r="AD9" s="16">
        <f>X9</f>
        <v>0</v>
      </c>
      <c r="AE9" s="17"/>
      <c r="AF9" s="34"/>
      <c r="AG9" s="35"/>
      <c r="AH9" s="35"/>
      <c r="AI9" s="35"/>
      <c r="AJ9" s="36"/>
      <c r="AK9" s="239"/>
      <c r="AL9" s="238"/>
      <c r="AM9" s="29"/>
      <c r="AN9" s="29"/>
    </row>
    <row r="10" spans="1:40" s="29" customFormat="1" ht="110.25" customHeight="1" x14ac:dyDescent="2.1">
      <c r="B10" s="37" t="s">
        <v>29</v>
      </c>
      <c r="C10" s="14">
        <v>4</v>
      </c>
      <c r="D10" s="14">
        <v>21</v>
      </c>
      <c r="E10" s="14">
        <v>10</v>
      </c>
      <c r="F10" s="14">
        <v>17</v>
      </c>
      <c r="G10" s="14">
        <v>3</v>
      </c>
      <c r="H10" s="14">
        <v>21</v>
      </c>
      <c r="I10" s="14">
        <v>6</v>
      </c>
      <c r="J10" s="14">
        <v>18</v>
      </c>
      <c r="K10" s="14">
        <v>1</v>
      </c>
      <c r="L10" s="14">
        <v>20</v>
      </c>
      <c r="M10" s="14">
        <v>6</v>
      </c>
      <c r="N10" s="14">
        <v>24</v>
      </c>
      <c r="O10" s="14">
        <v>7</v>
      </c>
      <c r="P10" s="14">
        <v>13</v>
      </c>
      <c r="Q10" s="14">
        <v>1</v>
      </c>
      <c r="R10" s="14">
        <v>18</v>
      </c>
      <c r="S10" s="14">
        <v>13</v>
      </c>
      <c r="T10" s="14">
        <v>21</v>
      </c>
      <c r="U10" s="14">
        <v>10</v>
      </c>
      <c r="V10" s="14">
        <v>15</v>
      </c>
      <c r="W10" s="14">
        <v>3</v>
      </c>
      <c r="X10" s="113">
        <v>1547600</v>
      </c>
      <c r="Y10" s="14">
        <f>SUM(C10,E10,G10,I10,K10,,M10,O10,Q10,S10,U10,W10)</f>
        <v>64</v>
      </c>
      <c r="Z10" s="14">
        <f>SUM(D10,F10,H10,J10,L10,,N10,P10,R10,T10,V10)</f>
        <v>188</v>
      </c>
      <c r="AA10" s="38" t="s">
        <v>29</v>
      </c>
      <c r="AB10" s="240">
        <f>SUM(Y10:Y13)</f>
        <v>106</v>
      </c>
      <c r="AC10" s="226">
        <f>SUM(AB10,AB15)</f>
        <v>121</v>
      </c>
      <c r="AD10" s="16">
        <f>X10</f>
        <v>1547600</v>
      </c>
      <c r="AE10" s="17"/>
      <c r="AF10" s="165" t="s">
        <v>30</v>
      </c>
      <c r="AG10" s="166"/>
      <c r="AH10" s="166"/>
      <c r="AI10" s="166"/>
      <c r="AJ10" s="167"/>
      <c r="AK10" s="239"/>
      <c r="AL10" s="238"/>
      <c r="AM10" s="12"/>
      <c r="AN10" s="12"/>
    </row>
    <row r="11" spans="1:40" s="12" customFormat="1" ht="110.25" customHeight="1" x14ac:dyDescent="2.1">
      <c r="A11" s="12">
        <v>0</v>
      </c>
      <c r="B11" s="13" t="s">
        <v>31</v>
      </c>
      <c r="C11" s="14">
        <v>9</v>
      </c>
      <c r="D11" s="14">
        <v>0</v>
      </c>
      <c r="E11" s="14">
        <v>3</v>
      </c>
      <c r="F11" s="14">
        <v>7</v>
      </c>
      <c r="G11" s="14">
        <v>1</v>
      </c>
      <c r="H11" s="14">
        <v>8</v>
      </c>
      <c r="I11" s="14">
        <v>4</v>
      </c>
      <c r="J11" s="14">
        <v>5</v>
      </c>
      <c r="K11" s="14">
        <v>1</v>
      </c>
      <c r="L11" s="14">
        <v>7</v>
      </c>
      <c r="M11" s="14">
        <v>3</v>
      </c>
      <c r="N11" s="14">
        <v>8</v>
      </c>
      <c r="O11" s="14">
        <v>1</v>
      </c>
      <c r="P11" s="14">
        <v>7</v>
      </c>
      <c r="Q11" s="14">
        <v>2</v>
      </c>
      <c r="R11" s="14">
        <v>5</v>
      </c>
      <c r="S11" s="14">
        <v>3</v>
      </c>
      <c r="T11" s="14">
        <v>7</v>
      </c>
      <c r="U11" s="14">
        <v>4</v>
      </c>
      <c r="V11" s="14">
        <v>8</v>
      </c>
      <c r="W11" s="14">
        <v>0</v>
      </c>
      <c r="X11" s="113">
        <v>770700</v>
      </c>
      <c r="Y11" s="14">
        <f>SUM(C11,E11,G11,I11,K11,,M11,O11,Q11,S11,U11,W11)</f>
        <v>31</v>
      </c>
      <c r="Z11" s="14">
        <f>SUM(D11,F11,H11,J11,L11,,N11,P11,R11,T11,V11)</f>
        <v>62</v>
      </c>
      <c r="AA11" s="13" t="s">
        <v>31</v>
      </c>
      <c r="AB11" s="241"/>
      <c r="AC11" s="243"/>
      <c r="AD11" s="16">
        <f t="shared" ref="AD11:AD13" si="1">X11</f>
        <v>770700</v>
      </c>
      <c r="AE11" s="17"/>
      <c r="AF11" s="168"/>
      <c r="AG11" s="169"/>
      <c r="AH11" s="169"/>
      <c r="AI11" s="169"/>
      <c r="AJ11" s="170"/>
      <c r="AK11" s="239"/>
      <c r="AL11" s="238"/>
    </row>
    <row r="12" spans="1:40" s="12" customFormat="1" ht="108.75" customHeight="1" x14ac:dyDescent="2.1">
      <c r="B12" s="13" t="s">
        <v>32</v>
      </c>
      <c r="C12" s="14">
        <v>0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1</v>
      </c>
      <c r="J12" s="14">
        <v>1</v>
      </c>
      <c r="K12" s="14">
        <v>1</v>
      </c>
      <c r="L12" s="14">
        <v>0</v>
      </c>
      <c r="M12" s="14">
        <v>2</v>
      </c>
      <c r="N12" s="14">
        <v>0</v>
      </c>
      <c r="O12" s="14">
        <v>1</v>
      </c>
      <c r="P12" s="14">
        <v>1</v>
      </c>
      <c r="Q12" s="14">
        <v>0</v>
      </c>
      <c r="R12" s="14">
        <v>2</v>
      </c>
      <c r="S12" s="14">
        <v>0</v>
      </c>
      <c r="T12" s="14">
        <v>0</v>
      </c>
      <c r="U12" s="14">
        <v>0</v>
      </c>
      <c r="V12" s="14">
        <v>2</v>
      </c>
      <c r="W12" s="14">
        <v>0</v>
      </c>
      <c r="X12" s="113">
        <v>156600</v>
      </c>
      <c r="Y12" s="14">
        <f>SUM(C12,E12,G12,I12,K12,,M12,O12,Q12,S12,U12,W12)</f>
        <v>6</v>
      </c>
      <c r="Z12" s="14">
        <f>SUM(D12,F12,H12,J12,L12,,N12,P12,R12,T12,V12)</f>
        <v>9</v>
      </c>
      <c r="AA12" s="13" t="s">
        <v>32</v>
      </c>
      <c r="AB12" s="241"/>
      <c r="AC12" s="243"/>
      <c r="AD12" s="16">
        <f t="shared" si="1"/>
        <v>156600</v>
      </c>
      <c r="AE12" s="17"/>
      <c r="AF12" s="168"/>
      <c r="AG12" s="169"/>
      <c r="AH12" s="169"/>
      <c r="AI12" s="169"/>
      <c r="AJ12" s="170"/>
      <c r="AK12" s="239"/>
      <c r="AL12" s="238"/>
    </row>
    <row r="13" spans="1:40" s="12" customFormat="1" ht="110.25" customHeight="1" x14ac:dyDescent="2.1">
      <c r="B13" s="13" t="s">
        <v>33</v>
      </c>
      <c r="C13" s="14">
        <v>0</v>
      </c>
      <c r="D13" s="14">
        <v>2</v>
      </c>
      <c r="E13" s="14">
        <v>1</v>
      </c>
      <c r="F13" s="14">
        <v>3</v>
      </c>
      <c r="G13" s="14">
        <v>2</v>
      </c>
      <c r="H13" s="14">
        <v>0</v>
      </c>
      <c r="I13" s="14">
        <v>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2</v>
      </c>
      <c r="Q13" s="14">
        <v>0</v>
      </c>
      <c r="R13" s="14">
        <v>1</v>
      </c>
      <c r="S13" s="14">
        <v>0</v>
      </c>
      <c r="T13" s="14">
        <v>0</v>
      </c>
      <c r="U13" s="14">
        <v>0</v>
      </c>
      <c r="V13" s="14">
        <v>2</v>
      </c>
      <c r="W13" s="14">
        <v>0</v>
      </c>
      <c r="X13" s="113">
        <v>130500</v>
      </c>
      <c r="Y13" s="14">
        <f>SUM(C13,E13,G13,I13,K13,,M13,O13,Q13,S13,U13,W13)</f>
        <v>5</v>
      </c>
      <c r="Z13" s="14">
        <f>SUM(D13,F13,H13,J13,L13,,N13,P13,R13,T13,V13)</f>
        <v>10</v>
      </c>
      <c r="AA13" s="13" t="s">
        <v>33</v>
      </c>
      <c r="AB13" s="242"/>
      <c r="AC13" s="243"/>
      <c r="AD13" s="16">
        <f t="shared" si="1"/>
        <v>130500</v>
      </c>
      <c r="AE13" s="17"/>
      <c r="AF13" s="168"/>
      <c r="AG13" s="169"/>
      <c r="AH13" s="169"/>
      <c r="AI13" s="169"/>
      <c r="AJ13" s="170"/>
      <c r="AK13" s="239"/>
      <c r="AL13" s="238"/>
    </row>
    <row r="14" spans="1:40" s="12" customFormat="1" ht="110.25" customHeight="1" x14ac:dyDescent="2.1">
      <c r="B14" s="13"/>
      <c r="C14" s="40">
        <f>SUM(C10:C13)</f>
        <v>13</v>
      </c>
      <c r="D14" s="30">
        <f t="shared" ref="D14:W14" si="2">SUM(D10:D13)</f>
        <v>24</v>
      </c>
      <c r="E14" s="30">
        <f t="shared" si="2"/>
        <v>15</v>
      </c>
      <c r="F14" s="30">
        <f>SUM(F10:F13)</f>
        <v>29</v>
      </c>
      <c r="G14" s="30">
        <f t="shared" si="2"/>
        <v>6</v>
      </c>
      <c r="H14" s="30">
        <f t="shared" si="2"/>
        <v>29</v>
      </c>
      <c r="I14" s="30">
        <f t="shared" si="2"/>
        <v>13</v>
      </c>
      <c r="J14" s="30">
        <f t="shared" si="2"/>
        <v>24</v>
      </c>
      <c r="K14" s="30">
        <f t="shared" si="2"/>
        <v>3</v>
      </c>
      <c r="L14" s="30">
        <f t="shared" si="2"/>
        <v>27</v>
      </c>
      <c r="M14" s="30">
        <f t="shared" si="2"/>
        <v>11</v>
      </c>
      <c r="N14" s="30">
        <f t="shared" si="2"/>
        <v>32</v>
      </c>
      <c r="O14" s="30">
        <f t="shared" si="2"/>
        <v>9</v>
      </c>
      <c r="P14" s="30">
        <f t="shared" si="2"/>
        <v>23</v>
      </c>
      <c r="Q14" s="30">
        <f t="shared" si="2"/>
        <v>3</v>
      </c>
      <c r="R14" s="30">
        <f t="shared" si="2"/>
        <v>26</v>
      </c>
      <c r="S14" s="30">
        <f t="shared" si="2"/>
        <v>16</v>
      </c>
      <c r="T14" s="30">
        <f t="shared" si="2"/>
        <v>28</v>
      </c>
      <c r="U14" s="30">
        <f t="shared" si="2"/>
        <v>14</v>
      </c>
      <c r="V14" s="30">
        <f t="shared" si="2"/>
        <v>27</v>
      </c>
      <c r="W14" s="30">
        <f t="shared" si="2"/>
        <v>3</v>
      </c>
      <c r="X14" s="114"/>
      <c r="Y14" s="14"/>
      <c r="Z14" s="41"/>
      <c r="AA14" s="42"/>
      <c r="AB14" s="13"/>
      <c r="AC14" s="243"/>
      <c r="AD14" s="33"/>
      <c r="AE14" s="17"/>
      <c r="AF14" s="168"/>
      <c r="AG14" s="169"/>
      <c r="AH14" s="169"/>
      <c r="AI14" s="169"/>
      <c r="AJ14" s="170"/>
      <c r="AK14" s="239"/>
      <c r="AL14" s="238"/>
    </row>
    <row r="15" spans="1:40" s="12" customFormat="1" ht="110.25" customHeight="1" x14ac:dyDescent="2.1">
      <c r="B15" s="13" t="s">
        <v>34</v>
      </c>
      <c r="C15" s="43">
        <v>0</v>
      </c>
      <c r="D15" s="43">
        <v>3</v>
      </c>
      <c r="E15" s="43">
        <v>3</v>
      </c>
      <c r="F15" s="43">
        <v>0</v>
      </c>
      <c r="G15" s="43">
        <v>1</v>
      </c>
      <c r="H15" s="43">
        <v>0</v>
      </c>
      <c r="I15" s="43">
        <v>0</v>
      </c>
      <c r="J15" s="43">
        <v>2</v>
      </c>
      <c r="K15" s="43">
        <v>0</v>
      </c>
      <c r="L15" s="43">
        <v>1</v>
      </c>
      <c r="M15" s="43">
        <v>1</v>
      </c>
      <c r="N15" s="43">
        <v>0</v>
      </c>
      <c r="O15" s="43">
        <v>1</v>
      </c>
      <c r="P15" s="43">
        <v>1</v>
      </c>
      <c r="Q15" s="43">
        <v>0</v>
      </c>
      <c r="R15" s="43">
        <v>1</v>
      </c>
      <c r="S15" s="43">
        <v>0</v>
      </c>
      <c r="T15" s="43">
        <v>2</v>
      </c>
      <c r="U15" s="43">
        <v>0</v>
      </c>
      <c r="V15" s="43">
        <v>2</v>
      </c>
      <c r="W15" s="43">
        <v>0</v>
      </c>
      <c r="X15" s="115">
        <v>153000</v>
      </c>
      <c r="Y15" s="14">
        <f t="shared" ref="Y15:Y20" si="3">SUM(C15,E15,G15,I15,K15,,M15,O15,Q15,S15,U15,W15)</f>
        <v>6</v>
      </c>
      <c r="Z15" s="14">
        <f t="shared" ref="Z15:Z20" si="4">SUM(D15,F15,H15,J15,L15,,N15,P15,R15,T15,V15)</f>
        <v>12</v>
      </c>
      <c r="AA15" s="13" t="s">
        <v>34</v>
      </c>
      <c r="AB15" s="240">
        <f>SUM(Y15:Y18)</f>
        <v>15</v>
      </c>
      <c r="AC15" s="243"/>
      <c r="AD15" s="16">
        <f>X15</f>
        <v>153000</v>
      </c>
      <c r="AE15" s="17"/>
      <c r="AF15" s="171">
        <f>SUM(AD10:AD20)-AD20</f>
        <v>2991900</v>
      </c>
      <c r="AG15" s="169"/>
      <c r="AH15" s="169"/>
      <c r="AI15" s="169"/>
      <c r="AJ15" s="170"/>
      <c r="AK15" s="239"/>
      <c r="AL15" s="238"/>
    </row>
    <row r="16" spans="1:40" s="12" customFormat="1" ht="110.25" customHeight="1" x14ac:dyDescent="2.1">
      <c r="B16" s="13" t="s">
        <v>35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116">
        <v>0</v>
      </c>
      <c r="Y16" s="14">
        <f t="shared" si="3"/>
        <v>0</v>
      </c>
      <c r="Z16" s="14">
        <f t="shared" si="4"/>
        <v>0</v>
      </c>
      <c r="AA16" s="13" t="s">
        <v>35</v>
      </c>
      <c r="AB16" s="241"/>
      <c r="AC16" s="243"/>
      <c r="AD16" s="16">
        <f t="shared" ref="AD16:AD20" si="5">X16</f>
        <v>0</v>
      </c>
      <c r="AE16" s="17"/>
      <c r="AF16" s="26"/>
      <c r="AG16" s="27"/>
      <c r="AH16" s="27"/>
      <c r="AI16" s="27"/>
      <c r="AJ16" s="28"/>
      <c r="AK16" s="239"/>
      <c r="AL16" s="238"/>
    </row>
    <row r="17" spans="1:38" s="12" customFormat="1" ht="110.25" customHeight="1" x14ac:dyDescent="2.1">
      <c r="B17" s="13" t="s">
        <v>36</v>
      </c>
      <c r="C17" s="43">
        <v>1</v>
      </c>
      <c r="D17" s="43">
        <v>1</v>
      </c>
      <c r="E17" s="43">
        <v>1</v>
      </c>
      <c r="F17" s="43">
        <v>1</v>
      </c>
      <c r="G17" s="43">
        <v>0</v>
      </c>
      <c r="H17" s="43">
        <v>2</v>
      </c>
      <c r="I17" s="43">
        <v>2</v>
      </c>
      <c r="J17" s="43">
        <v>0</v>
      </c>
      <c r="K17" s="43">
        <v>0</v>
      </c>
      <c r="L17" s="43">
        <v>0</v>
      </c>
      <c r="M17" s="43">
        <v>0</v>
      </c>
      <c r="N17" s="43">
        <v>2</v>
      </c>
      <c r="O17" s="43">
        <v>1</v>
      </c>
      <c r="P17" s="43">
        <v>0</v>
      </c>
      <c r="Q17" s="43">
        <v>0</v>
      </c>
      <c r="R17" s="43">
        <v>1</v>
      </c>
      <c r="S17" s="43">
        <v>0</v>
      </c>
      <c r="T17" s="43">
        <v>2</v>
      </c>
      <c r="U17" s="43">
        <v>0</v>
      </c>
      <c r="V17" s="43">
        <v>1</v>
      </c>
      <c r="W17" s="43">
        <v>0</v>
      </c>
      <c r="X17" s="116">
        <v>127500</v>
      </c>
      <c r="Y17" s="14">
        <f t="shared" si="3"/>
        <v>5</v>
      </c>
      <c r="Z17" s="14">
        <f t="shared" si="4"/>
        <v>10</v>
      </c>
      <c r="AA17" s="13" t="s">
        <v>36</v>
      </c>
      <c r="AB17" s="241"/>
      <c r="AC17" s="243"/>
      <c r="AD17" s="16">
        <f t="shared" si="5"/>
        <v>127500</v>
      </c>
      <c r="AE17" s="17"/>
      <c r="AF17" s="26"/>
      <c r="AG17" s="27"/>
      <c r="AH17" s="27"/>
      <c r="AI17" s="27"/>
      <c r="AJ17" s="28"/>
      <c r="AK17" s="239"/>
      <c r="AL17" s="238"/>
    </row>
    <row r="18" spans="1:38" s="12" customFormat="1" ht="110.25" customHeight="1" x14ac:dyDescent="2.1">
      <c r="B18" s="13" t="s">
        <v>37</v>
      </c>
      <c r="C18" s="43">
        <v>0</v>
      </c>
      <c r="D18" s="43">
        <v>1</v>
      </c>
      <c r="E18" s="43">
        <v>2</v>
      </c>
      <c r="F18" s="43">
        <v>1</v>
      </c>
      <c r="G18" s="43">
        <v>1</v>
      </c>
      <c r="H18" s="43">
        <v>1</v>
      </c>
      <c r="I18" s="43">
        <v>0</v>
      </c>
      <c r="J18" s="43">
        <v>0</v>
      </c>
      <c r="K18" s="43">
        <v>0</v>
      </c>
      <c r="L18" s="43">
        <v>1</v>
      </c>
      <c r="M18" s="43">
        <v>0</v>
      </c>
      <c r="N18" s="43">
        <v>1</v>
      </c>
      <c r="O18" s="43">
        <v>1</v>
      </c>
      <c r="P18" s="43">
        <v>0</v>
      </c>
      <c r="Q18" s="43">
        <v>0</v>
      </c>
      <c r="R18" s="43">
        <v>1</v>
      </c>
      <c r="S18" s="43">
        <v>0</v>
      </c>
      <c r="T18" s="43">
        <v>2</v>
      </c>
      <c r="U18" s="43">
        <v>0</v>
      </c>
      <c r="V18" s="43">
        <v>2</v>
      </c>
      <c r="W18" s="43">
        <v>0</v>
      </c>
      <c r="X18" s="115">
        <v>106000</v>
      </c>
      <c r="Y18" s="14">
        <f t="shared" si="3"/>
        <v>4</v>
      </c>
      <c r="Z18" s="14">
        <f t="shared" si="4"/>
        <v>10</v>
      </c>
      <c r="AA18" s="13" t="s">
        <v>37</v>
      </c>
      <c r="AB18" s="241"/>
      <c r="AC18" s="243"/>
      <c r="AD18" s="16">
        <f t="shared" si="5"/>
        <v>106000</v>
      </c>
      <c r="AE18" s="17"/>
      <c r="AF18" s="26"/>
      <c r="AG18" s="27"/>
      <c r="AH18" s="27"/>
      <c r="AI18" s="27"/>
      <c r="AJ18" s="28"/>
      <c r="AK18" s="239"/>
      <c r="AL18" s="238"/>
    </row>
    <row r="19" spans="1:38" s="12" customFormat="1" ht="110.25" customHeight="1" x14ac:dyDescent="2.1">
      <c r="B19" s="13" t="s">
        <v>38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116">
        <v>0</v>
      </c>
      <c r="Y19" s="14">
        <f t="shared" si="3"/>
        <v>0</v>
      </c>
      <c r="Z19" s="14">
        <f t="shared" si="4"/>
        <v>0</v>
      </c>
      <c r="AA19" s="13" t="s">
        <v>38</v>
      </c>
      <c r="AB19" s="241"/>
      <c r="AC19" s="243"/>
      <c r="AD19" s="16">
        <f t="shared" si="5"/>
        <v>0</v>
      </c>
      <c r="AE19" s="17"/>
      <c r="AF19" s="26"/>
      <c r="AG19" s="27"/>
      <c r="AH19" s="27"/>
      <c r="AI19" s="27"/>
      <c r="AJ19" s="28"/>
      <c r="AK19" s="239"/>
      <c r="AL19" s="238"/>
    </row>
    <row r="20" spans="1:38" s="12" customFormat="1" ht="110.25" customHeight="1" thickBot="1" x14ac:dyDescent="2.15">
      <c r="B20" s="13" t="s">
        <v>39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115">
        <v>0</v>
      </c>
      <c r="Y20" s="14">
        <f t="shared" si="3"/>
        <v>0</v>
      </c>
      <c r="Z20" s="14">
        <f t="shared" si="4"/>
        <v>0</v>
      </c>
      <c r="AA20" s="13" t="s">
        <v>39</v>
      </c>
      <c r="AB20" s="242"/>
      <c r="AC20" s="227"/>
      <c r="AD20" s="16">
        <f t="shared" si="5"/>
        <v>0</v>
      </c>
      <c r="AE20" s="17"/>
      <c r="AF20" s="26"/>
      <c r="AG20" s="27"/>
      <c r="AH20" s="27"/>
      <c r="AI20" s="27"/>
      <c r="AJ20" s="28"/>
      <c r="AK20" s="239"/>
      <c r="AL20" s="238"/>
    </row>
    <row r="21" spans="1:38" s="12" customFormat="1" ht="110.25" customHeight="1" x14ac:dyDescent="2.1">
      <c r="B21" s="13"/>
      <c r="C21" s="30">
        <f>SUM(C15:C20)</f>
        <v>1</v>
      </c>
      <c r="D21" s="30">
        <f t="shared" ref="D21:V21" si="6">SUM(D15:D20)</f>
        <v>5</v>
      </c>
      <c r="E21" s="30">
        <f t="shared" si="6"/>
        <v>6</v>
      </c>
      <c r="F21" s="30">
        <f t="shared" si="6"/>
        <v>2</v>
      </c>
      <c r="G21" s="30">
        <f t="shared" si="6"/>
        <v>2</v>
      </c>
      <c r="H21" s="30">
        <f t="shared" si="6"/>
        <v>3</v>
      </c>
      <c r="I21" s="30">
        <f t="shared" si="6"/>
        <v>2</v>
      </c>
      <c r="J21" s="30">
        <f t="shared" si="6"/>
        <v>2</v>
      </c>
      <c r="K21" s="30">
        <f t="shared" si="6"/>
        <v>0</v>
      </c>
      <c r="L21" s="30">
        <f t="shared" si="6"/>
        <v>2</v>
      </c>
      <c r="M21" s="30">
        <f t="shared" si="6"/>
        <v>1</v>
      </c>
      <c r="N21" s="30">
        <f t="shared" si="6"/>
        <v>3</v>
      </c>
      <c r="O21" s="30">
        <f t="shared" si="6"/>
        <v>3</v>
      </c>
      <c r="P21" s="30">
        <f t="shared" si="6"/>
        <v>1</v>
      </c>
      <c r="Q21" s="30">
        <f t="shared" si="6"/>
        <v>0</v>
      </c>
      <c r="R21" s="30">
        <f t="shared" si="6"/>
        <v>3</v>
      </c>
      <c r="S21" s="30">
        <f t="shared" si="6"/>
        <v>0</v>
      </c>
      <c r="T21" s="30">
        <f t="shared" si="6"/>
        <v>6</v>
      </c>
      <c r="U21" s="30">
        <f t="shared" si="6"/>
        <v>0</v>
      </c>
      <c r="V21" s="30">
        <f t="shared" si="6"/>
        <v>5</v>
      </c>
      <c r="W21" s="30">
        <f>SUM(W15:W20)</f>
        <v>0</v>
      </c>
      <c r="X21" s="114"/>
      <c r="Y21" s="14"/>
      <c r="Z21" s="14"/>
      <c r="AA21" s="42"/>
      <c r="AB21" s="200"/>
      <c r="AC21" s="201"/>
      <c r="AD21" s="33"/>
      <c r="AE21" s="17"/>
      <c r="AF21" s="165" t="s">
        <v>40</v>
      </c>
      <c r="AG21" s="166"/>
      <c r="AH21" s="166"/>
      <c r="AI21" s="166"/>
      <c r="AJ21" s="167"/>
      <c r="AK21" s="239"/>
      <c r="AL21" s="238"/>
    </row>
    <row r="22" spans="1:38" s="12" customFormat="1" ht="110.25" customHeight="1" x14ac:dyDescent="2.1">
      <c r="B22" s="13" t="s">
        <v>41</v>
      </c>
      <c r="C22" s="14">
        <v>3</v>
      </c>
      <c r="D22" s="14">
        <v>1</v>
      </c>
      <c r="E22" s="14">
        <v>0</v>
      </c>
      <c r="F22" s="14">
        <v>4</v>
      </c>
      <c r="G22" s="14">
        <v>1</v>
      </c>
      <c r="H22" s="14">
        <v>4</v>
      </c>
      <c r="I22" s="14">
        <v>3</v>
      </c>
      <c r="J22" s="14">
        <v>0</v>
      </c>
      <c r="K22" s="14">
        <v>2</v>
      </c>
      <c r="L22" s="14">
        <v>1</v>
      </c>
      <c r="M22" s="14">
        <v>0</v>
      </c>
      <c r="N22" s="14">
        <v>3</v>
      </c>
      <c r="O22" s="14">
        <v>2</v>
      </c>
      <c r="P22" s="14">
        <v>3</v>
      </c>
      <c r="Q22" s="14">
        <v>0</v>
      </c>
      <c r="R22" s="14">
        <v>3</v>
      </c>
      <c r="S22" s="14">
        <v>1</v>
      </c>
      <c r="T22" s="14">
        <v>3</v>
      </c>
      <c r="U22" s="14">
        <v>1</v>
      </c>
      <c r="V22" s="14">
        <v>2</v>
      </c>
      <c r="W22" s="14">
        <v>0</v>
      </c>
      <c r="X22" s="117">
        <v>302000</v>
      </c>
      <c r="Y22" s="14">
        <f>SUM(C22,E22,G22,I22,K22,,M22,O22,Q22,S22,U22,W22)</f>
        <v>13</v>
      </c>
      <c r="Z22" s="14">
        <f>SUM(D22,F22,H22,J22,L22,,N22,P22,R22,T22,V22)</f>
        <v>24</v>
      </c>
      <c r="AA22" s="13" t="s">
        <v>41</v>
      </c>
      <c r="AB22" s="224"/>
      <c r="AC22" s="225"/>
      <c r="AD22" s="16">
        <f>X22</f>
        <v>302000</v>
      </c>
      <c r="AE22" s="17"/>
      <c r="AF22" s="228">
        <f>SUM(AD22:AE22)</f>
        <v>302000</v>
      </c>
      <c r="AG22" s="229"/>
      <c r="AH22" s="229"/>
      <c r="AI22" s="229"/>
      <c r="AJ22" s="230"/>
      <c r="AK22" s="22"/>
      <c r="AL22" s="18"/>
    </row>
    <row r="23" spans="1:38" s="12" customFormat="1" ht="110.25" customHeight="1" thickBot="1" x14ac:dyDescent="2.15">
      <c r="B23" s="13"/>
      <c r="C23" s="30">
        <f>SUM(C22)</f>
        <v>3</v>
      </c>
      <c r="D23" s="30">
        <f t="shared" ref="D23:W23" si="7">SUM(D22)</f>
        <v>1</v>
      </c>
      <c r="E23" s="30">
        <f t="shared" si="7"/>
        <v>0</v>
      </c>
      <c r="F23" s="30">
        <f t="shared" si="7"/>
        <v>4</v>
      </c>
      <c r="G23" s="30">
        <f t="shared" si="7"/>
        <v>1</v>
      </c>
      <c r="H23" s="30">
        <f t="shared" si="7"/>
        <v>4</v>
      </c>
      <c r="I23" s="30">
        <f t="shared" si="7"/>
        <v>3</v>
      </c>
      <c r="J23" s="30">
        <f t="shared" si="7"/>
        <v>0</v>
      </c>
      <c r="K23" s="30">
        <f t="shared" si="7"/>
        <v>2</v>
      </c>
      <c r="L23" s="30">
        <f t="shared" si="7"/>
        <v>1</v>
      </c>
      <c r="M23" s="30">
        <f t="shared" si="7"/>
        <v>0</v>
      </c>
      <c r="N23" s="30">
        <f t="shared" si="7"/>
        <v>3</v>
      </c>
      <c r="O23" s="30">
        <f t="shared" si="7"/>
        <v>2</v>
      </c>
      <c r="P23" s="30">
        <f t="shared" si="7"/>
        <v>3</v>
      </c>
      <c r="Q23" s="30">
        <f t="shared" si="7"/>
        <v>0</v>
      </c>
      <c r="R23" s="30">
        <f t="shared" si="7"/>
        <v>3</v>
      </c>
      <c r="S23" s="30">
        <f t="shared" si="7"/>
        <v>1</v>
      </c>
      <c r="T23" s="30">
        <f t="shared" si="7"/>
        <v>3</v>
      </c>
      <c r="U23" s="30">
        <f t="shared" si="7"/>
        <v>1</v>
      </c>
      <c r="V23" s="30">
        <f t="shared" si="7"/>
        <v>2</v>
      </c>
      <c r="W23" s="30">
        <f t="shared" si="7"/>
        <v>0</v>
      </c>
      <c r="X23" s="114"/>
      <c r="Y23" s="14"/>
      <c r="Z23" s="14"/>
      <c r="AA23" s="42"/>
      <c r="AB23" s="154"/>
      <c r="AC23" s="155"/>
      <c r="AD23" s="16">
        <f t="shared" ref="AD23:AD39" si="8">X23</f>
        <v>0</v>
      </c>
      <c r="AE23" s="17"/>
      <c r="AF23" s="34"/>
      <c r="AG23" s="35"/>
      <c r="AH23" s="35"/>
      <c r="AI23" s="35"/>
      <c r="AJ23" s="36"/>
      <c r="AK23" s="22"/>
      <c r="AL23" s="18"/>
    </row>
    <row r="24" spans="1:38" s="12" customFormat="1" ht="110.25" customHeight="1" x14ac:dyDescent="2.1">
      <c r="A24" s="12">
        <v>0</v>
      </c>
      <c r="B24" s="13" t="s">
        <v>42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  <c r="H24" s="14">
        <v>4</v>
      </c>
      <c r="I24" s="14">
        <v>4</v>
      </c>
      <c r="J24" s="14">
        <v>2</v>
      </c>
      <c r="K24" s="14">
        <v>0</v>
      </c>
      <c r="L24" s="14">
        <v>0</v>
      </c>
      <c r="M24" s="14">
        <v>1</v>
      </c>
      <c r="N24" s="14">
        <v>5</v>
      </c>
      <c r="O24" s="14">
        <v>0</v>
      </c>
      <c r="P24" s="14">
        <v>0</v>
      </c>
      <c r="Q24" s="14">
        <v>1</v>
      </c>
      <c r="R24" s="14">
        <v>5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13">
        <v>183100</v>
      </c>
      <c r="Y24" s="14">
        <f>SUM(C24,E24,G24,I24,K24,,M24,O24,Q24,S24,U24,W24)</f>
        <v>9</v>
      </c>
      <c r="Z24" s="14">
        <f>SUM(D24,F24,H24,J24,L24,,N24,P24,R24,T24,V24)</f>
        <v>16</v>
      </c>
      <c r="AA24" s="13" t="s">
        <v>42</v>
      </c>
      <c r="AB24" s="176">
        <f>SUM(Y24:Y25)</f>
        <v>37</v>
      </c>
      <c r="AC24" s="177"/>
      <c r="AD24" s="16">
        <f t="shared" si="8"/>
        <v>183100</v>
      </c>
      <c r="AE24" s="17"/>
      <c r="AF24" s="182" t="s">
        <v>43</v>
      </c>
      <c r="AG24" s="183"/>
      <c r="AH24" s="183"/>
      <c r="AI24" s="183"/>
      <c r="AJ24" s="231"/>
      <c r="AK24" s="232" t="s">
        <v>44</v>
      </c>
      <c r="AL24" s="233"/>
    </row>
    <row r="25" spans="1:38" s="12" customFormat="1" ht="110.25" customHeight="1" thickBot="1" x14ac:dyDescent="2.15">
      <c r="A25" s="12">
        <v>0</v>
      </c>
      <c r="B25" s="13" t="s">
        <v>45</v>
      </c>
      <c r="C25" s="14">
        <v>3</v>
      </c>
      <c r="D25" s="14">
        <v>4</v>
      </c>
      <c r="E25" s="14">
        <v>7</v>
      </c>
      <c r="F25" s="14">
        <v>3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2</v>
      </c>
      <c r="N25" s="14">
        <v>4</v>
      </c>
      <c r="O25" s="14">
        <v>11</v>
      </c>
      <c r="P25" s="14">
        <v>4</v>
      </c>
      <c r="Q25" s="14">
        <v>0</v>
      </c>
      <c r="R25" s="14">
        <v>0</v>
      </c>
      <c r="S25" s="14">
        <v>2</v>
      </c>
      <c r="T25" s="14">
        <v>2</v>
      </c>
      <c r="U25" s="14">
        <v>3</v>
      </c>
      <c r="V25" s="14">
        <v>3</v>
      </c>
      <c r="W25" s="14">
        <v>0</v>
      </c>
      <c r="X25" s="113">
        <v>548400</v>
      </c>
      <c r="Y25" s="14">
        <f>SUM(C25,E25,G25,I25,K25,,M25,O25,Q25,S25,U25,W25)</f>
        <v>28</v>
      </c>
      <c r="Z25" s="14">
        <f>SUM(D25,F25,H25,J25,L25,,N25,P25,R25,T25,V25)</f>
        <v>20</v>
      </c>
      <c r="AA25" s="13" t="s">
        <v>45</v>
      </c>
      <c r="AB25" s="178"/>
      <c r="AC25" s="179"/>
      <c r="AD25" s="16">
        <f t="shared" si="8"/>
        <v>548400</v>
      </c>
      <c r="AE25" s="17"/>
      <c r="AF25" s="204">
        <f>SUM(AD24:AD25)</f>
        <v>731500</v>
      </c>
      <c r="AG25" s="235"/>
      <c r="AH25" s="235"/>
      <c r="AI25" s="235"/>
      <c r="AJ25" s="236"/>
      <c r="AK25" s="232"/>
      <c r="AL25" s="233"/>
    </row>
    <row r="26" spans="1:38" s="12" customFormat="1" ht="110.25" customHeight="1" thickBot="1" x14ac:dyDescent="2.15">
      <c r="B26" s="13"/>
      <c r="C26" s="30">
        <f t="shared" ref="C26:W26" si="9">SUM(C24:C25)</f>
        <v>3</v>
      </c>
      <c r="D26" s="30">
        <f t="shared" si="9"/>
        <v>4</v>
      </c>
      <c r="E26" s="30">
        <f t="shared" si="9"/>
        <v>7</v>
      </c>
      <c r="F26" s="30">
        <f t="shared" si="9"/>
        <v>3</v>
      </c>
      <c r="G26" s="30">
        <f t="shared" si="9"/>
        <v>3</v>
      </c>
      <c r="H26" s="30">
        <f t="shared" si="9"/>
        <v>4</v>
      </c>
      <c r="I26" s="30">
        <f t="shared" si="9"/>
        <v>4</v>
      </c>
      <c r="J26" s="30">
        <f t="shared" si="9"/>
        <v>2</v>
      </c>
      <c r="K26" s="30">
        <f t="shared" si="9"/>
        <v>0</v>
      </c>
      <c r="L26" s="30">
        <f t="shared" si="9"/>
        <v>0</v>
      </c>
      <c r="M26" s="30">
        <f t="shared" si="9"/>
        <v>3</v>
      </c>
      <c r="N26" s="30">
        <f t="shared" si="9"/>
        <v>9</v>
      </c>
      <c r="O26" s="30">
        <f t="shared" si="9"/>
        <v>11</v>
      </c>
      <c r="P26" s="30">
        <f t="shared" si="9"/>
        <v>4</v>
      </c>
      <c r="Q26" s="30">
        <f t="shared" si="9"/>
        <v>1</v>
      </c>
      <c r="R26" s="30">
        <f t="shared" si="9"/>
        <v>5</v>
      </c>
      <c r="S26" s="30">
        <f t="shared" si="9"/>
        <v>2</v>
      </c>
      <c r="T26" s="30">
        <f t="shared" si="9"/>
        <v>2</v>
      </c>
      <c r="U26" s="30">
        <f t="shared" si="9"/>
        <v>3</v>
      </c>
      <c r="V26" s="30">
        <f t="shared" si="9"/>
        <v>3</v>
      </c>
      <c r="W26" s="30">
        <f t="shared" si="9"/>
        <v>0</v>
      </c>
      <c r="X26" s="114"/>
      <c r="Y26" s="14"/>
      <c r="Z26" s="14"/>
      <c r="AA26" s="13"/>
      <c r="AB26" s="154"/>
      <c r="AC26" s="155"/>
      <c r="AD26" s="16">
        <f t="shared" si="8"/>
        <v>0</v>
      </c>
      <c r="AE26" s="17"/>
      <c r="AF26" s="44"/>
      <c r="AG26" s="45"/>
      <c r="AH26" s="45"/>
      <c r="AI26" s="45"/>
      <c r="AJ26" s="46"/>
      <c r="AK26" s="232"/>
      <c r="AL26" s="233"/>
    </row>
    <row r="27" spans="1:38" s="12" customFormat="1" ht="110.25" customHeight="1" x14ac:dyDescent="2.1">
      <c r="A27" s="12">
        <v>0</v>
      </c>
      <c r="B27" s="13" t="s">
        <v>46</v>
      </c>
      <c r="C27" s="14">
        <v>0</v>
      </c>
      <c r="D27" s="14">
        <v>3</v>
      </c>
      <c r="E27" s="14">
        <v>0</v>
      </c>
      <c r="F27" s="14">
        <v>2</v>
      </c>
      <c r="G27" s="14">
        <v>2</v>
      </c>
      <c r="H27" s="14">
        <v>2</v>
      </c>
      <c r="I27" s="14">
        <v>0</v>
      </c>
      <c r="J27" s="14">
        <v>2</v>
      </c>
      <c r="K27" s="14">
        <v>1</v>
      </c>
      <c r="L27" s="14">
        <v>3</v>
      </c>
      <c r="M27" s="14">
        <v>2</v>
      </c>
      <c r="N27" s="14">
        <v>2</v>
      </c>
      <c r="O27" s="14">
        <v>1</v>
      </c>
      <c r="P27" s="14">
        <v>3</v>
      </c>
      <c r="Q27" s="14">
        <v>0</v>
      </c>
      <c r="R27" s="14">
        <v>3</v>
      </c>
      <c r="S27" s="14">
        <v>1</v>
      </c>
      <c r="T27" s="14">
        <v>1</v>
      </c>
      <c r="U27" s="14">
        <v>2</v>
      </c>
      <c r="V27" s="14">
        <v>0</v>
      </c>
      <c r="W27" s="14">
        <v>2</v>
      </c>
      <c r="X27" s="113">
        <v>844200</v>
      </c>
      <c r="Y27" s="14">
        <f>SUM(C27,E27,G27,I27,K27,,M27,O27,Q27,S27,U27,W27)</f>
        <v>11</v>
      </c>
      <c r="Z27" s="14">
        <f>SUM(D27,F27,H27,J27,L27,,N27,P27,R27,T27,V27)</f>
        <v>21</v>
      </c>
      <c r="AA27" s="13" t="s">
        <v>46</v>
      </c>
      <c r="AB27" s="176">
        <f>SUM(Y26:Y28)</f>
        <v>16</v>
      </c>
      <c r="AC27" s="177"/>
      <c r="AD27" s="16">
        <f t="shared" si="8"/>
        <v>844200</v>
      </c>
      <c r="AE27" s="17"/>
      <c r="AF27" s="182" t="s">
        <v>47</v>
      </c>
      <c r="AG27" s="183"/>
      <c r="AH27" s="183"/>
      <c r="AI27" s="183"/>
      <c r="AJ27" s="231"/>
      <c r="AK27" s="232"/>
      <c r="AL27" s="233"/>
    </row>
    <row r="28" spans="1:38" s="12" customFormat="1" ht="110.25" customHeight="1" thickBot="1" x14ac:dyDescent="2.15">
      <c r="A28" s="12">
        <v>0</v>
      </c>
      <c r="B28" s="13" t="s">
        <v>48</v>
      </c>
      <c r="C28" s="14">
        <v>0</v>
      </c>
      <c r="D28" s="14">
        <v>2</v>
      </c>
      <c r="E28" s="14">
        <v>1</v>
      </c>
      <c r="F28" s="14">
        <v>1</v>
      </c>
      <c r="G28" s="14">
        <v>1</v>
      </c>
      <c r="H28" s="14">
        <v>3</v>
      </c>
      <c r="I28" s="14">
        <v>0</v>
      </c>
      <c r="J28" s="14">
        <v>5</v>
      </c>
      <c r="K28" s="14">
        <v>0</v>
      </c>
      <c r="L28" s="14">
        <v>2</v>
      </c>
      <c r="M28" s="14">
        <v>0</v>
      </c>
      <c r="N28" s="14">
        <v>2</v>
      </c>
      <c r="O28" s="14">
        <v>3</v>
      </c>
      <c r="P28" s="14">
        <v>2</v>
      </c>
      <c r="Q28" s="14">
        <v>0</v>
      </c>
      <c r="R28" s="14">
        <v>2</v>
      </c>
      <c r="S28" s="14">
        <v>0</v>
      </c>
      <c r="T28" s="14">
        <v>2</v>
      </c>
      <c r="U28" s="14">
        <v>0</v>
      </c>
      <c r="V28" s="14">
        <v>3</v>
      </c>
      <c r="W28" s="14">
        <v>0</v>
      </c>
      <c r="X28" s="113">
        <v>395800</v>
      </c>
      <c r="Y28" s="14">
        <f>SUM(C28,E28,G28,I28,K28,,M28,O28,Q28,S28,U28,W28)</f>
        <v>5</v>
      </c>
      <c r="Z28" s="14">
        <f>SUM(D28,F28,H28,J28,L28,,N28,P28,R28,T28,V28)</f>
        <v>24</v>
      </c>
      <c r="AA28" s="13" t="s">
        <v>48</v>
      </c>
      <c r="AB28" s="178"/>
      <c r="AC28" s="179"/>
      <c r="AD28" s="16">
        <f t="shared" si="8"/>
        <v>395800</v>
      </c>
      <c r="AE28" s="17"/>
      <c r="AF28" s="204">
        <f>+AD27+AD31</f>
        <v>2349600</v>
      </c>
      <c r="AG28" s="235"/>
      <c r="AH28" s="235"/>
      <c r="AI28" s="235"/>
      <c r="AJ28" s="236"/>
      <c r="AK28" s="232"/>
      <c r="AL28" s="233"/>
    </row>
    <row r="29" spans="1:38" s="12" customFormat="1" ht="110.25" customHeight="1" thickBot="1" x14ac:dyDescent="2.15">
      <c r="B29" s="13"/>
      <c r="C29" s="30">
        <f t="shared" ref="C29:W29" si="10">SUM(C27:C28)</f>
        <v>0</v>
      </c>
      <c r="D29" s="30">
        <f t="shared" si="10"/>
        <v>5</v>
      </c>
      <c r="E29" s="30">
        <f t="shared" si="10"/>
        <v>1</v>
      </c>
      <c r="F29" s="30">
        <f t="shared" si="10"/>
        <v>3</v>
      </c>
      <c r="G29" s="30">
        <f t="shared" si="10"/>
        <v>3</v>
      </c>
      <c r="H29" s="30">
        <f t="shared" si="10"/>
        <v>5</v>
      </c>
      <c r="I29" s="30">
        <f t="shared" si="10"/>
        <v>0</v>
      </c>
      <c r="J29" s="30">
        <f t="shared" si="10"/>
        <v>7</v>
      </c>
      <c r="K29" s="30">
        <f t="shared" si="10"/>
        <v>1</v>
      </c>
      <c r="L29" s="30">
        <f t="shared" si="10"/>
        <v>5</v>
      </c>
      <c r="M29" s="30">
        <f t="shared" si="10"/>
        <v>2</v>
      </c>
      <c r="N29" s="30">
        <f t="shared" si="10"/>
        <v>4</v>
      </c>
      <c r="O29" s="30">
        <f t="shared" si="10"/>
        <v>4</v>
      </c>
      <c r="P29" s="30">
        <f t="shared" si="10"/>
        <v>5</v>
      </c>
      <c r="Q29" s="30">
        <f t="shared" si="10"/>
        <v>0</v>
      </c>
      <c r="R29" s="30">
        <f t="shared" si="10"/>
        <v>5</v>
      </c>
      <c r="S29" s="30">
        <f t="shared" si="10"/>
        <v>1</v>
      </c>
      <c r="T29" s="30">
        <f t="shared" si="10"/>
        <v>3</v>
      </c>
      <c r="U29" s="30">
        <f t="shared" si="10"/>
        <v>2</v>
      </c>
      <c r="V29" s="30">
        <f t="shared" si="10"/>
        <v>3</v>
      </c>
      <c r="W29" s="30">
        <f t="shared" si="10"/>
        <v>2</v>
      </c>
      <c r="X29" s="114"/>
      <c r="Y29" s="14"/>
      <c r="Z29" s="14"/>
      <c r="AA29" s="13"/>
      <c r="AB29" s="154"/>
      <c r="AC29" s="155"/>
      <c r="AD29" s="16">
        <f t="shared" si="8"/>
        <v>0</v>
      </c>
      <c r="AE29" s="17"/>
      <c r="AF29" s="44"/>
      <c r="AG29" s="45"/>
      <c r="AH29" s="45"/>
      <c r="AI29" s="45"/>
      <c r="AJ29" s="45"/>
      <c r="AK29" s="232"/>
      <c r="AL29" s="233"/>
    </row>
    <row r="30" spans="1:38" s="12" customFormat="1" ht="110.25" customHeight="1" x14ac:dyDescent="2.1">
      <c r="A30" s="12">
        <v>0</v>
      </c>
      <c r="B30" s="13" t="s">
        <v>49</v>
      </c>
      <c r="C30" s="14">
        <v>0</v>
      </c>
      <c r="D30" s="14">
        <v>10</v>
      </c>
      <c r="E30" s="14">
        <v>0</v>
      </c>
      <c r="F30" s="14">
        <v>8</v>
      </c>
      <c r="G30" s="14">
        <v>1</v>
      </c>
      <c r="H30" s="14">
        <v>5</v>
      </c>
      <c r="I30" s="14">
        <v>0</v>
      </c>
      <c r="J30" s="14">
        <v>6</v>
      </c>
      <c r="K30" s="14">
        <v>0</v>
      </c>
      <c r="L30" s="14">
        <v>8</v>
      </c>
      <c r="M30" s="14">
        <v>0</v>
      </c>
      <c r="N30" s="14">
        <v>5</v>
      </c>
      <c r="O30" s="14">
        <v>0</v>
      </c>
      <c r="P30" s="14">
        <v>6</v>
      </c>
      <c r="Q30" s="14">
        <v>0</v>
      </c>
      <c r="R30" s="14">
        <v>4</v>
      </c>
      <c r="S30" s="14">
        <v>3</v>
      </c>
      <c r="T30" s="14">
        <v>5</v>
      </c>
      <c r="U30" s="14">
        <v>1</v>
      </c>
      <c r="V30" s="14">
        <v>5</v>
      </c>
      <c r="W30" s="14">
        <v>0</v>
      </c>
      <c r="X30" s="113">
        <v>571200</v>
      </c>
      <c r="Y30" s="14">
        <f>SUM(C30,E30,G30,I30,K30,,M30,O30,Q30,S30,U30,W30)</f>
        <v>5</v>
      </c>
      <c r="Z30" s="14">
        <f>SUM(D30,F30,H30,J30,L30,,N30,P30,R30,T30,V30)</f>
        <v>62</v>
      </c>
      <c r="AA30" s="13" t="s">
        <v>49</v>
      </c>
      <c r="AB30" s="176">
        <f>SUM(Y29:Y31)</f>
        <v>18</v>
      </c>
      <c r="AC30" s="177"/>
      <c r="AD30" s="16">
        <f t="shared" si="8"/>
        <v>571200</v>
      </c>
      <c r="AE30" s="17"/>
      <c r="AF30" s="182" t="s">
        <v>50</v>
      </c>
      <c r="AG30" s="183"/>
      <c r="AH30" s="183"/>
      <c r="AI30" s="183"/>
      <c r="AJ30" s="183"/>
      <c r="AK30" s="232"/>
      <c r="AL30" s="233"/>
    </row>
    <row r="31" spans="1:38" s="12" customFormat="1" ht="110.25" customHeight="1" thickBot="1" x14ac:dyDescent="2.15">
      <c r="A31" s="12">
        <v>0</v>
      </c>
      <c r="B31" s="13" t="s">
        <v>51</v>
      </c>
      <c r="C31" s="14">
        <v>0</v>
      </c>
      <c r="D31" s="14">
        <v>7</v>
      </c>
      <c r="E31" s="14">
        <v>0</v>
      </c>
      <c r="F31" s="14">
        <v>7</v>
      </c>
      <c r="G31" s="14">
        <v>1</v>
      </c>
      <c r="H31" s="14">
        <v>4</v>
      </c>
      <c r="I31" s="14">
        <v>3</v>
      </c>
      <c r="J31" s="14">
        <v>3</v>
      </c>
      <c r="K31" s="14">
        <v>0</v>
      </c>
      <c r="L31" s="14">
        <v>7</v>
      </c>
      <c r="M31" s="14">
        <v>1</v>
      </c>
      <c r="N31" s="14">
        <v>2</v>
      </c>
      <c r="O31" s="14">
        <v>0</v>
      </c>
      <c r="P31" s="14">
        <v>4</v>
      </c>
      <c r="Q31" s="14">
        <v>0</v>
      </c>
      <c r="R31" s="14">
        <v>3</v>
      </c>
      <c r="S31" s="14">
        <v>2</v>
      </c>
      <c r="T31" s="14">
        <v>6</v>
      </c>
      <c r="U31" s="14">
        <v>5</v>
      </c>
      <c r="V31" s="14">
        <v>5</v>
      </c>
      <c r="W31" s="14">
        <v>1</v>
      </c>
      <c r="X31" s="113">
        <v>1505400</v>
      </c>
      <c r="Y31" s="14">
        <f>SUM(C31,E31,G31,I31,K31,,M31,O31,Q31,S31,U31,W31)</f>
        <v>13</v>
      </c>
      <c r="Z31" s="14">
        <f>SUM(D31,F31,H31,J31,L31,,N31,P31,R31,T31,V31)</f>
        <v>48</v>
      </c>
      <c r="AA31" s="13" t="s">
        <v>51</v>
      </c>
      <c r="AB31" s="178"/>
      <c r="AC31" s="179"/>
      <c r="AD31" s="16">
        <f t="shared" si="8"/>
        <v>1505400</v>
      </c>
      <c r="AE31" s="17"/>
      <c r="AF31" s="204">
        <f>+AD30+AD31</f>
        <v>2076600</v>
      </c>
      <c r="AG31" s="235"/>
      <c r="AH31" s="235"/>
      <c r="AI31" s="235"/>
      <c r="AJ31" s="236"/>
      <c r="AK31" s="232"/>
      <c r="AL31" s="233"/>
    </row>
    <row r="32" spans="1:38" s="12" customFormat="1" ht="110.25" customHeight="1" thickBot="1" x14ac:dyDescent="2.15">
      <c r="B32" s="13"/>
      <c r="C32" s="30">
        <f t="shared" ref="C32:W32" si="11">SUM(C30:C31)</f>
        <v>0</v>
      </c>
      <c r="D32" s="30">
        <f t="shared" si="11"/>
        <v>17</v>
      </c>
      <c r="E32" s="30">
        <f t="shared" si="11"/>
        <v>0</v>
      </c>
      <c r="F32" s="30">
        <f t="shared" si="11"/>
        <v>15</v>
      </c>
      <c r="G32" s="30">
        <f t="shared" si="11"/>
        <v>2</v>
      </c>
      <c r="H32" s="30">
        <f t="shared" si="11"/>
        <v>9</v>
      </c>
      <c r="I32" s="30">
        <f t="shared" si="11"/>
        <v>3</v>
      </c>
      <c r="J32" s="30">
        <f t="shared" si="11"/>
        <v>9</v>
      </c>
      <c r="K32" s="30">
        <f t="shared" si="11"/>
        <v>0</v>
      </c>
      <c r="L32" s="30">
        <f t="shared" si="11"/>
        <v>15</v>
      </c>
      <c r="M32" s="30">
        <f t="shared" si="11"/>
        <v>1</v>
      </c>
      <c r="N32" s="30">
        <f t="shared" si="11"/>
        <v>7</v>
      </c>
      <c r="O32" s="30">
        <f t="shared" si="11"/>
        <v>0</v>
      </c>
      <c r="P32" s="30">
        <f t="shared" si="11"/>
        <v>10</v>
      </c>
      <c r="Q32" s="30">
        <f t="shared" si="11"/>
        <v>0</v>
      </c>
      <c r="R32" s="30">
        <f t="shared" si="11"/>
        <v>7</v>
      </c>
      <c r="S32" s="30">
        <f t="shared" si="11"/>
        <v>5</v>
      </c>
      <c r="T32" s="30">
        <f t="shared" si="11"/>
        <v>11</v>
      </c>
      <c r="U32" s="30">
        <f t="shared" si="11"/>
        <v>6</v>
      </c>
      <c r="V32" s="30">
        <f t="shared" si="11"/>
        <v>10</v>
      </c>
      <c r="W32" s="30">
        <f t="shared" si="11"/>
        <v>1</v>
      </c>
      <c r="X32" s="114"/>
      <c r="Y32" s="14"/>
      <c r="Z32" s="14"/>
      <c r="AA32" s="13"/>
      <c r="AB32" s="154"/>
      <c r="AC32" s="155"/>
      <c r="AD32" s="16">
        <f t="shared" si="8"/>
        <v>0</v>
      </c>
      <c r="AE32" s="17"/>
      <c r="AF32" s="44"/>
      <c r="AG32" s="45"/>
      <c r="AH32" s="45"/>
      <c r="AI32" s="45"/>
      <c r="AJ32" s="45"/>
      <c r="AK32" s="232"/>
      <c r="AL32" s="233"/>
    </row>
    <row r="33" spans="1:40" s="12" customFormat="1" ht="110.25" customHeight="1" x14ac:dyDescent="2.1">
      <c r="A33" s="12">
        <v>0</v>
      </c>
      <c r="B33" s="13" t="s">
        <v>52</v>
      </c>
      <c r="C33" s="14">
        <v>0</v>
      </c>
      <c r="D33" s="14">
        <v>1</v>
      </c>
      <c r="E33" s="14">
        <v>1</v>
      </c>
      <c r="F33" s="14">
        <v>2</v>
      </c>
      <c r="G33" s="14">
        <v>0</v>
      </c>
      <c r="H33" s="14">
        <v>1</v>
      </c>
      <c r="I33" s="14">
        <v>0</v>
      </c>
      <c r="J33" s="14">
        <v>1</v>
      </c>
      <c r="K33" s="14">
        <v>0</v>
      </c>
      <c r="L33" s="14">
        <v>2</v>
      </c>
      <c r="M33" s="14">
        <v>1</v>
      </c>
      <c r="N33" s="14">
        <v>0</v>
      </c>
      <c r="O33" s="14">
        <v>1</v>
      </c>
      <c r="P33" s="14">
        <v>0</v>
      </c>
      <c r="Q33" s="14">
        <v>0</v>
      </c>
      <c r="R33" s="14">
        <v>1</v>
      </c>
      <c r="S33" s="14">
        <v>1</v>
      </c>
      <c r="T33" s="14">
        <v>2</v>
      </c>
      <c r="U33" s="14">
        <v>1</v>
      </c>
      <c r="V33" s="14">
        <v>0</v>
      </c>
      <c r="W33" s="14">
        <v>0</v>
      </c>
      <c r="X33" s="113">
        <v>826200</v>
      </c>
      <c r="Y33" s="14">
        <f>SUM(C33,E33,G33,I33,K33,,M33,O33,Q33,S33,U33,W33)</f>
        <v>5</v>
      </c>
      <c r="Z33" s="14">
        <f>SUM(D33,F33,H33,J33,L33,,N33,P33,R33,T33,V33)</f>
        <v>10</v>
      </c>
      <c r="AA33" s="13" t="s">
        <v>52</v>
      </c>
      <c r="AB33" s="176">
        <f>SUM(Y32:Y34)</f>
        <v>8</v>
      </c>
      <c r="AC33" s="177"/>
      <c r="AD33" s="16">
        <f t="shared" si="8"/>
        <v>826200</v>
      </c>
      <c r="AE33" s="17"/>
      <c r="AF33" s="182" t="s">
        <v>53</v>
      </c>
      <c r="AG33" s="183"/>
      <c r="AH33" s="183"/>
      <c r="AI33" s="183"/>
      <c r="AJ33" s="183"/>
      <c r="AK33" s="232"/>
      <c r="AL33" s="233"/>
    </row>
    <row r="34" spans="1:40" s="12" customFormat="1" ht="110.25" customHeight="1" thickBot="1" x14ac:dyDescent="2.15">
      <c r="A34" s="12">
        <v>0</v>
      </c>
      <c r="B34" s="13" t="s">
        <v>54</v>
      </c>
      <c r="C34" s="14">
        <v>0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0</v>
      </c>
      <c r="J34" s="14">
        <v>2</v>
      </c>
      <c r="K34" s="14">
        <v>0</v>
      </c>
      <c r="L34" s="14">
        <v>1</v>
      </c>
      <c r="M34" s="14">
        <v>0</v>
      </c>
      <c r="N34" s="14">
        <v>2</v>
      </c>
      <c r="O34" s="14">
        <v>0</v>
      </c>
      <c r="P34" s="14">
        <v>1</v>
      </c>
      <c r="Q34" s="14">
        <v>0</v>
      </c>
      <c r="R34" s="14">
        <v>2</v>
      </c>
      <c r="S34" s="14">
        <v>1</v>
      </c>
      <c r="T34" s="14">
        <v>0</v>
      </c>
      <c r="U34" s="14">
        <v>1</v>
      </c>
      <c r="V34" s="14">
        <v>0</v>
      </c>
      <c r="W34" s="14">
        <v>1</v>
      </c>
      <c r="X34" s="113">
        <v>507800</v>
      </c>
      <c r="Y34" s="14">
        <f>SUM(C34,E34,G34,I34,K34,,M34,O34,Q34,S34,U34,W34)</f>
        <v>3</v>
      </c>
      <c r="Z34" s="14">
        <f>SUM(D34,F34,H34,J34,L34,,N34,P34,R34,T34,V34)</f>
        <v>11</v>
      </c>
      <c r="AA34" s="13" t="s">
        <v>54</v>
      </c>
      <c r="AB34" s="178"/>
      <c r="AC34" s="179"/>
      <c r="AD34" s="16">
        <f t="shared" si="8"/>
        <v>507800</v>
      </c>
      <c r="AE34" s="17"/>
      <c r="AF34" s="204">
        <f>+AD33+AD34</f>
        <v>1334000</v>
      </c>
      <c r="AG34" s="235"/>
      <c r="AH34" s="235"/>
      <c r="AI34" s="235"/>
      <c r="AJ34" s="236"/>
      <c r="AK34" s="232"/>
      <c r="AL34" s="233"/>
    </row>
    <row r="35" spans="1:40" s="12" customFormat="1" ht="110.25" customHeight="1" thickBot="1" x14ac:dyDescent="2.15">
      <c r="B35" s="13"/>
      <c r="C35" s="30">
        <f t="shared" ref="C35:W35" si="12">SUM(C33:C34)</f>
        <v>0</v>
      </c>
      <c r="D35" s="30">
        <f t="shared" si="12"/>
        <v>2</v>
      </c>
      <c r="E35" s="30">
        <f t="shared" si="12"/>
        <v>1</v>
      </c>
      <c r="F35" s="30">
        <f t="shared" si="12"/>
        <v>3</v>
      </c>
      <c r="G35" s="30">
        <f t="shared" si="12"/>
        <v>0</v>
      </c>
      <c r="H35" s="30">
        <f t="shared" si="12"/>
        <v>2</v>
      </c>
      <c r="I35" s="30">
        <f t="shared" si="12"/>
        <v>0</v>
      </c>
      <c r="J35" s="30">
        <f t="shared" si="12"/>
        <v>3</v>
      </c>
      <c r="K35" s="30">
        <f t="shared" si="12"/>
        <v>0</v>
      </c>
      <c r="L35" s="30">
        <f t="shared" si="12"/>
        <v>3</v>
      </c>
      <c r="M35" s="30">
        <f t="shared" si="12"/>
        <v>1</v>
      </c>
      <c r="N35" s="30">
        <f t="shared" si="12"/>
        <v>2</v>
      </c>
      <c r="O35" s="30">
        <f t="shared" si="12"/>
        <v>1</v>
      </c>
      <c r="P35" s="30">
        <f t="shared" si="12"/>
        <v>1</v>
      </c>
      <c r="Q35" s="30">
        <f t="shared" si="12"/>
        <v>0</v>
      </c>
      <c r="R35" s="30">
        <f t="shared" si="12"/>
        <v>3</v>
      </c>
      <c r="S35" s="30">
        <f t="shared" si="12"/>
        <v>2</v>
      </c>
      <c r="T35" s="30">
        <f t="shared" si="12"/>
        <v>2</v>
      </c>
      <c r="U35" s="30">
        <f t="shared" si="12"/>
        <v>2</v>
      </c>
      <c r="V35" s="30">
        <f t="shared" si="12"/>
        <v>0</v>
      </c>
      <c r="W35" s="30">
        <f t="shared" si="12"/>
        <v>1</v>
      </c>
      <c r="X35" s="114"/>
      <c r="Y35" s="14"/>
      <c r="Z35" s="14"/>
      <c r="AA35" s="13"/>
      <c r="AB35" s="154"/>
      <c r="AC35" s="155"/>
      <c r="AD35" s="16">
        <f t="shared" si="8"/>
        <v>0</v>
      </c>
      <c r="AE35" s="17"/>
      <c r="AF35" s="44"/>
      <c r="AG35" s="45"/>
      <c r="AH35" s="45"/>
      <c r="AI35" s="45"/>
      <c r="AJ35" s="45"/>
      <c r="AK35" s="232"/>
      <c r="AL35" s="233"/>
    </row>
    <row r="36" spans="1:40" s="12" customFormat="1" ht="110.25" customHeight="1" x14ac:dyDescent="2.1">
      <c r="B36" s="13" t="s">
        <v>55</v>
      </c>
      <c r="C36" s="14">
        <v>0</v>
      </c>
      <c r="D36" s="14">
        <v>1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1</v>
      </c>
      <c r="K36" s="14">
        <v>0</v>
      </c>
      <c r="L36" s="14">
        <v>0</v>
      </c>
      <c r="M36" s="14">
        <v>0</v>
      </c>
      <c r="N36" s="14">
        <v>1</v>
      </c>
      <c r="O36" s="14">
        <v>0</v>
      </c>
      <c r="P36" s="14">
        <v>1</v>
      </c>
      <c r="Q36" s="14">
        <v>0</v>
      </c>
      <c r="R36" s="14">
        <v>1</v>
      </c>
      <c r="S36" s="14">
        <v>0</v>
      </c>
      <c r="T36" s="14">
        <v>0</v>
      </c>
      <c r="U36" s="14">
        <v>0</v>
      </c>
      <c r="V36" s="14">
        <v>0</v>
      </c>
      <c r="W36" s="14">
        <v>1</v>
      </c>
      <c r="X36" s="113">
        <v>198000</v>
      </c>
      <c r="Y36" s="14">
        <f>SUM(C36,E36,G36,I36,K36,,M36,O36,Q36,S36,U36,W36)</f>
        <v>1</v>
      </c>
      <c r="Z36" s="14">
        <f>SUM(D36,F36,H36,J36,L36,,N36,P36,R36,T36,V36)</f>
        <v>5</v>
      </c>
      <c r="AA36" s="13" t="s">
        <v>55</v>
      </c>
      <c r="AB36" s="176">
        <f>SUM(Y35:Y37)</f>
        <v>4</v>
      </c>
      <c r="AC36" s="177"/>
      <c r="AD36" s="16">
        <f t="shared" si="8"/>
        <v>198000</v>
      </c>
      <c r="AE36" s="17"/>
      <c r="AF36" s="182" t="s">
        <v>56</v>
      </c>
      <c r="AG36" s="183"/>
      <c r="AH36" s="183"/>
      <c r="AI36" s="183"/>
      <c r="AJ36" s="183"/>
      <c r="AK36" s="232"/>
      <c r="AL36" s="233"/>
    </row>
    <row r="37" spans="1:40" s="12" customFormat="1" ht="110.25" customHeight="1" thickBot="1" x14ac:dyDescent="2.15">
      <c r="B37" s="13" t="s">
        <v>57</v>
      </c>
      <c r="C37" s="14">
        <v>1</v>
      </c>
      <c r="D37" s="14">
        <v>0</v>
      </c>
      <c r="E37" s="14">
        <v>0</v>
      </c>
      <c r="F37" s="14">
        <v>1</v>
      </c>
      <c r="G37" s="14">
        <v>0</v>
      </c>
      <c r="H37" s="14">
        <v>2</v>
      </c>
      <c r="I37" s="14">
        <v>0</v>
      </c>
      <c r="J37" s="14">
        <v>1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1</v>
      </c>
      <c r="Q37" s="14">
        <v>0</v>
      </c>
      <c r="R37" s="14">
        <v>0</v>
      </c>
      <c r="S37" s="14">
        <v>0</v>
      </c>
      <c r="T37" s="14">
        <v>1</v>
      </c>
      <c r="U37" s="14">
        <v>1</v>
      </c>
      <c r="V37" s="14">
        <v>0</v>
      </c>
      <c r="W37" s="14">
        <v>1</v>
      </c>
      <c r="X37" s="117">
        <v>597000</v>
      </c>
      <c r="Y37" s="14">
        <f>SUM(C37,E37,G37,I37,K37,,M37,O37,Q37,S37,U37,W37)</f>
        <v>3</v>
      </c>
      <c r="Z37" s="14">
        <f>SUM(D37,F37,H37,J37,L37,,N37,P37,R37,T37,V37)</f>
        <v>6</v>
      </c>
      <c r="AA37" s="13" t="s">
        <v>57</v>
      </c>
      <c r="AB37" s="178"/>
      <c r="AC37" s="179"/>
      <c r="AD37" s="16">
        <f t="shared" si="8"/>
        <v>597000</v>
      </c>
      <c r="AE37" s="17"/>
      <c r="AF37" s="204">
        <f>+AD36+AD37</f>
        <v>795000</v>
      </c>
      <c r="AG37" s="235"/>
      <c r="AH37" s="235"/>
      <c r="AI37" s="235"/>
      <c r="AJ37" s="236"/>
      <c r="AK37" s="232"/>
      <c r="AL37" s="233"/>
      <c r="AM37" s="47"/>
      <c r="AN37" s="47"/>
    </row>
    <row r="38" spans="1:40" s="12" customFormat="1" ht="146.25" x14ac:dyDescent="2.1">
      <c r="B38" s="13"/>
      <c r="C38" s="30">
        <f t="shared" ref="C38:W38" si="13">SUM(C36:C37)</f>
        <v>1</v>
      </c>
      <c r="D38" s="30">
        <f t="shared" si="13"/>
        <v>1</v>
      </c>
      <c r="E38" s="30">
        <f t="shared" si="13"/>
        <v>0</v>
      </c>
      <c r="F38" s="30">
        <f t="shared" si="13"/>
        <v>1</v>
      </c>
      <c r="G38" s="30">
        <f t="shared" si="13"/>
        <v>0</v>
      </c>
      <c r="H38" s="30">
        <f t="shared" si="13"/>
        <v>2</v>
      </c>
      <c r="I38" s="30">
        <f t="shared" si="13"/>
        <v>0</v>
      </c>
      <c r="J38" s="30">
        <f t="shared" si="13"/>
        <v>2</v>
      </c>
      <c r="K38" s="30">
        <f t="shared" si="13"/>
        <v>0</v>
      </c>
      <c r="L38" s="30">
        <f t="shared" si="13"/>
        <v>0</v>
      </c>
      <c r="M38" s="30">
        <f t="shared" si="13"/>
        <v>0</v>
      </c>
      <c r="N38" s="30">
        <f t="shared" si="13"/>
        <v>1</v>
      </c>
      <c r="O38" s="30">
        <f t="shared" si="13"/>
        <v>0</v>
      </c>
      <c r="P38" s="30">
        <f t="shared" si="13"/>
        <v>2</v>
      </c>
      <c r="Q38" s="30">
        <f t="shared" si="13"/>
        <v>0</v>
      </c>
      <c r="R38" s="30">
        <f t="shared" si="13"/>
        <v>1</v>
      </c>
      <c r="S38" s="30">
        <f t="shared" si="13"/>
        <v>0</v>
      </c>
      <c r="T38" s="30">
        <f t="shared" si="13"/>
        <v>1</v>
      </c>
      <c r="U38" s="30">
        <f t="shared" si="13"/>
        <v>1</v>
      </c>
      <c r="V38" s="30">
        <f t="shared" si="13"/>
        <v>0</v>
      </c>
      <c r="W38" s="30">
        <f t="shared" si="13"/>
        <v>2</v>
      </c>
      <c r="X38" s="114"/>
      <c r="Y38" s="14"/>
      <c r="Z38" s="14"/>
      <c r="AA38" s="13"/>
      <c r="AB38" s="154"/>
      <c r="AC38" s="155"/>
      <c r="AD38" s="16">
        <f t="shared" si="8"/>
        <v>0</v>
      </c>
      <c r="AE38" s="17"/>
      <c r="AF38" s="45"/>
      <c r="AG38" s="45"/>
      <c r="AH38" s="45"/>
      <c r="AI38" s="45"/>
      <c r="AJ38" s="45"/>
      <c r="AK38" s="232"/>
      <c r="AL38" s="233"/>
      <c r="AM38" s="47"/>
      <c r="AN38" s="47"/>
    </row>
    <row r="39" spans="1:40" s="12" customFormat="1" ht="146.25" x14ac:dyDescent="2.1">
      <c r="B39" s="13" t="s">
        <v>58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4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17">
        <v>0</v>
      </c>
      <c r="Y39" s="14">
        <f>SUM(C39,E39,G39,I39,K39,,M39,O39,Q39,S39,U39,W39)</f>
        <v>0</v>
      </c>
      <c r="Z39" s="14">
        <f>SUM(D39,F39,H39,J39,L39,,N39,P39,R39,T39,V39)</f>
        <v>4</v>
      </c>
      <c r="AA39" s="13" t="s">
        <v>58</v>
      </c>
      <c r="AB39" s="154"/>
      <c r="AC39" s="155"/>
      <c r="AD39" s="16">
        <f t="shared" si="8"/>
        <v>0</v>
      </c>
      <c r="AE39" s="17"/>
      <c r="AF39" s="45"/>
      <c r="AG39" s="45"/>
      <c r="AH39" s="45"/>
      <c r="AI39" s="45"/>
      <c r="AJ39" s="45"/>
      <c r="AK39" s="232"/>
      <c r="AL39" s="233"/>
      <c r="AM39" s="47"/>
      <c r="AN39" s="47"/>
    </row>
    <row r="40" spans="1:40" s="4" customFormat="1" ht="132" customHeight="1" x14ac:dyDescent="2.1">
      <c r="B40" s="48" t="s">
        <v>59</v>
      </c>
      <c r="C40" s="142" t="s">
        <v>2</v>
      </c>
      <c r="D40" s="143"/>
      <c r="E40" s="142" t="s">
        <v>3</v>
      </c>
      <c r="F40" s="143"/>
      <c r="G40" s="142" t="s">
        <v>4</v>
      </c>
      <c r="H40" s="143"/>
      <c r="I40" s="142" t="s">
        <v>5</v>
      </c>
      <c r="J40" s="143"/>
      <c r="K40" s="142" t="s">
        <v>6</v>
      </c>
      <c r="L40" s="143"/>
      <c r="M40" s="142" t="s">
        <v>8</v>
      </c>
      <c r="N40" s="143"/>
      <c r="O40" s="142" t="s">
        <v>9</v>
      </c>
      <c r="P40" s="143"/>
      <c r="Q40" s="142" t="s">
        <v>10</v>
      </c>
      <c r="R40" s="143"/>
      <c r="S40" s="142" t="s">
        <v>11</v>
      </c>
      <c r="T40" s="143"/>
      <c r="U40" s="142" t="s">
        <v>12</v>
      </c>
      <c r="V40" s="143"/>
      <c r="W40" s="5" t="s">
        <v>13</v>
      </c>
      <c r="X40" s="118"/>
      <c r="Y40" s="49" t="s">
        <v>14</v>
      </c>
      <c r="Z40" s="49" t="s">
        <v>15</v>
      </c>
      <c r="AA40" s="48" t="s">
        <v>59</v>
      </c>
      <c r="AB40" s="148"/>
      <c r="AC40" s="149"/>
      <c r="AD40" s="6">
        <v>0</v>
      </c>
      <c r="AE40" s="7"/>
      <c r="AF40" s="2"/>
      <c r="AG40" s="2"/>
      <c r="AH40" s="2"/>
      <c r="AI40" s="2"/>
      <c r="AJ40" s="2"/>
      <c r="AK40" s="232"/>
      <c r="AL40" s="233"/>
      <c r="AM40" s="12"/>
      <c r="AN40" s="12"/>
    </row>
    <row r="41" spans="1:40" s="47" customFormat="1" ht="147" thickBot="1" x14ac:dyDescent="2.15">
      <c r="A41" s="12"/>
      <c r="B41" s="13" t="s">
        <v>60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13">
        <v>0</v>
      </c>
      <c r="Y41" s="14">
        <f t="shared" ref="Y41:Y53" si="14">SUM(C41,E41,G41,I41,K41,,M41,O41,Q41,S41,U41,W41)</f>
        <v>0</v>
      </c>
      <c r="Z41" s="14">
        <f t="shared" ref="Z41:Z53" si="15">SUM(D41,F41,H41,J41,L41,,N41,P41,R41,T41,V41)</f>
        <v>0</v>
      </c>
      <c r="AA41" s="13" t="s">
        <v>60</v>
      </c>
      <c r="AB41" s="50"/>
      <c r="AC41" s="51"/>
      <c r="AD41" s="16">
        <f>X41</f>
        <v>0</v>
      </c>
      <c r="AE41" s="17"/>
      <c r="AF41" s="52"/>
      <c r="AG41" s="52"/>
      <c r="AH41" s="52"/>
      <c r="AI41" s="52"/>
      <c r="AJ41" s="52"/>
      <c r="AK41" s="232"/>
      <c r="AL41" s="233"/>
    </row>
    <row r="42" spans="1:40" s="47" customFormat="1" ht="146.25" x14ac:dyDescent="2.1">
      <c r="A42" s="12"/>
      <c r="B42" s="13" t="s">
        <v>61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13">
        <v>0</v>
      </c>
      <c r="Y42" s="14">
        <f t="shared" si="14"/>
        <v>0</v>
      </c>
      <c r="Z42" s="14">
        <f t="shared" si="15"/>
        <v>0</v>
      </c>
      <c r="AA42" s="13" t="s">
        <v>61</v>
      </c>
      <c r="AB42" s="208">
        <f>SUM(Y40:Y53)</f>
        <v>9</v>
      </c>
      <c r="AC42" s="209"/>
      <c r="AD42" s="16">
        <f t="shared" ref="AD42:AD59" si="16">X42</f>
        <v>0</v>
      </c>
      <c r="AE42" s="17"/>
      <c r="AF42" s="182" t="s">
        <v>62</v>
      </c>
      <c r="AG42" s="183"/>
      <c r="AH42" s="183"/>
      <c r="AI42" s="183"/>
      <c r="AJ42" s="231"/>
      <c r="AK42" s="234"/>
      <c r="AL42" s="233"/>
    </row>
    <row r="43" spans="1:40" s="47" customFormat="1" ht="110.25" customHeight="1" x14ac:dyDescent="2.1">
      <c r="A43" s="12"/>
      <c r="B43" s="13" t="s">
        <v>63</v>
      </c>
      <c r="C43" s="14">
        <v>0</v>
      </c>
      <c r="D43" s="14">
        <v>1</v>
      </c>
      <c r="E43" s="14">
        <v>0</v>
      </c>
      <c r="F43" s="14">
        <v>1</v>
      </c>
      <c r="G43" s="14">
        <v>1</v>
      </c>
      <c r="H43" s="14">
        <v>0</v>
      </c>
      <c r="I43" s="14">
        <v>0</v>
      </c>
      <c r="J43" s="14">
        <v>1</v>
      </c>
      <c r="K43" s="14">
        <v>0</v>
      </c>
      <c r="L43" s="14">
        <v>1</v>
      </c>
      <c r="M43" s="14">
        <v>0</v>
      </c>
      <c r="N43" s="14">
        <v>1</v>
      </c>
      <c r="O43" s="14">
        <v>0</v>
      </c>
      <c r="P43" s="14">
        <v>1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1</v>
      </c>
      <c r="W43" s="14">
        <v>0</v>
      </c>
      <c r="X43" s="113">
        <v>156000</v>
      </c>
      <c r="Y43" s="14">
        <f t="shared" si="14"/>
        <v>1</v>
      </c>
      <c r="Z43" s="14">
        <f t="shared" si="15"/>
        <v>7</v>
      </c>
      <c r="AA43" s="13" t="s">
        <v>63</v>
      </c>
      <c r="AB43" s="208"/>
      <c r="AC43" s="209"/>
      <c r="AD43" s="16">
        <f t="shared" si="16"/>
        <v>156000</v>
      </c>
      <c r="AE43" s="17"/>
      <c r="AF43" s="53"/>
      <c r="AG43" s="54"/>
      <c r="AH43" s="54"/>
      <c r="AI43" s="54"/>
      <c r="AJ43" s="55"/>
      <c r="AK43" s="234"/>
      <c r="AL43" s="233"/>
    </row>
    <row r="44" spans="1:40" s="47" customFormat="1" ht="110.25" customHeight="1" x14ac:dyDescent="2.1">
      <c r="A44" s="12"/>
      <c r="B44" s="13" t="s">
        <v>64</v>
      </c>
      <c r="C44" s="14">
        <v>1</v>
      </c>
      <c r="D44" s="14">
        <v>2</v>
      </c>
      <c r="E44" s="14">
        <v>0</v>
      </c>
      <c r="F44" s="14">
        <v>1</v>
      </c>
      <c r="G44" s="14">
        <v>1</v>
      </c>
      <c r="H44" s="14">
        <v>0</v>
      </c>
      <c r="I44" s="14">
        <v>0</v>
      </c>
      <c r="J44" s="14">
        <v>1</v>
      </c>
      <c r="K44" s="14">
        <v>0</v>
      </c>
      <c r="L44" s="14">
        <v>1</v>
      </c>
      <c r="M44" s="14">
        <v>0</v>
      </c>
      <c r="N44" s="14">
        <v>1</v>
      </c>
      <c r="O44" s="14">
        <v>1</v>
      </c>
      <c r="P44" s="14">
        <v>0</v>
      </c>
      <c r="Q44" s="14">
        <v>1</v>
      </c>
      <c r="R44" s="14">
        <v>0</v>
      </c>
      <c r="S44" s="14">
        <v>0</v>
      </c>
      <c r="T44" s="14">
        <v>1</v>
      </c>
      <c r="U44" s="14">
        <v>0</v>
      </c>
      <c r="V44" s="14">
        <v>1</v>
      </c>
      <c r="W44" s="14">
        <v>0</v>
      </c>
      <c r="X44" s="113">
        <v>547400</v>
      </c>
      <c r="Y44" s="14">
        <f t="shared" si="14"/>
        <v>4</v>
      </c>
      <c r="Z44" s="14">
        <f t="shared" si="15"/>
        <v>8</v>
      </c>
      <c r="AA44" s="13" t="s">
        <v>64</v>
      </c>
      <c r="AB44" s="208"/>
      <c r="AC44" s="209"/>
      <c r="AD44" s="16">
        <f t="shared" si="16"/>
        <v>547400</v>
      </c>
      <c r="AE44" s="17"/>
      <c r="AF44" s="53"/>
      <c r="AG44" s="54"/>
      <c r="AH44" s="54"/>
      <c r="AI44" s="54"/>
      <c r="AJ44" s="55"/>
      <c r="AK44" s="234"/>
      <c r="AL44" s="233"/>
    </row>
    <row r="45" spans="1:40" s="47" customFormat="1" ht="110.25" customHeight="1" x14ac:dyDescent="2.1">
      <c r="A45" s="12"/>
      <c r="B45" s="13" t="s">
        <v>65</v>
      </c>
      <c r="C45" s="14">
        <v>0</v>
      </c>
      <c r="D45" s="14">
        <v>1</v>
      </c>
      <c r="E45" s="14">
        <v>0</v>
      </c>
      <c r="F45" s="14">
        <v>1</v>
      </c>
      <c r="G45" s="14">
        <v>0</v>
      </c>
      <c r="H45" s="14">
        <v>2</v>
      </c>
      <c r="I45" s="14">
        <v>0</v>
      </c>
      <c r="J45" s="14">
        <v>1</v>
      </c>
      <c r="K45" s="14">
        <v>0</v>
      </c>
      <c r="L45" s="14">
        <v>2</v>
      </c>
      <c r="M45" s="14">
        <v>0</v>
      </c>
      <c r="N45" s="14">
        <v>1</v>
      </c>
      <c r="O45" s="14">
        <v>0</v>
      </c>
      <c r="P45" s="14">
        <v>1</v>
      </c>
      <c r="Q45" s="14">
        <v>0</v>
      </c>
      <c r="R45" s="14">
        <v>0</v>
      </c>
      <c r="S45" s="14">
        <v>0</v>
      </c>
      <c r="T45" s="14">
        <v>2</v>
      </c>
      <c r="U45" s="14">
        <v>0</v>
      </c>
      <c r="V45" s="14">
        <v>1</v>
      </c>
      <c r="W45" s="14">
        <v>0</v>
      </c>
      <c r="X45" s="113">
        <v>0</v>
      </c>
      <c r="Y45" s="14">
        <f t="shared" si="14"/>
        <v>0</v>
      </c>
      <c r="Z45" s="14">
        <f t="shared" si="15"/>
        <v>12</v>
      </c>
      <c r="AA45" s="13" t="s">
        <v>65</v>
      </c>
      <c r="AB45" s="208"/>
      <c r="AC45" s="209"/>
      <c r="AD45" s="16">
        <f t="shared" si="16"/>
        <v>0</v>
      </c>
      <c r="AE45" s="17"/>
      <c r="AF45" s="53"/>
      <c r="AG45" s="54"/>
      <c r="AH45" s="54"/>
      <c r="AI45" s="54"/>
      <c r="AJ45" s="55"/>
      <c r="AK45" s="234"/>
      <c r="AL45" s="233"/>
    </row>
    <row r="46" spans="1:40" s="47" customFormat="1" ht="110.25" customHeight="1" x14ac:dyDescent="2.1">
      <c r="A46" s="12"/>
      <c r="B46" s="13" t="s">
        <v>66</v>
      </c>
      <c r="C46" s="14">
        <v>1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1</v>
      </c>
      <c r="W46" s="14">
        <v>0</v>
      </c>
      <c r="X46" s="113">
        <v>133500</v>
      </c>
      <c r="Y46" s="14">
        <f t="shared" si="14"/>
        <v>1</v>
      </c>
      <c r="Z46" s="14">
        <f t="shared" si="15"/>
        <v>3</v>
      </c>
      <c r="AA46" s="13" t="s">
        <v>66</v>
      </c>
      <c r="AB46" s="208"/>
      <c r="AC46" s="209"/>
      <c r="AD46" s="16">
        <f t="shared" si="16"/>
        <v>133500</v>
      </c>
      <c r="AE46" s="17"/>
      <c r="AF46" s="53"/>
      <c r="AG46" s="54"/>
      <c r="AH46" s="54"/>
      <c r="AI46" s="54"/>
      <c r="AJ46" s="55"/>
      <c r="AK46" s="234"/>
      <c r="AL46" s="233"/>
    </row>
    <row r="47" spans="1:40" s="47" customFormat="1" ht="110.25" customHeight="1" x14ac:dyDescent="2.1">
      <c r="A47" s="12"/>
      <c r="B47" s="13" t="s">
        <v>67</v>
      </c>
      <c r="C47" s="14">
        <v>0</v>
      </c>
      <c r="D47" s="14">
        <v>1</v>
      </c>
      <c r="E47" s="14">
        <v>0</v>
      </c>
      <c r="F47" s="14">
        <v>0</v>
      </c>
      <c r="G47" s="14">
        <v>0</v>
      </c>
      <c r="H47" s="14">
        <v>1</v>
      </c>
      <c r="I47" s="14">
        <v>0</v>
      </c>
      <c r="J47" s="14">
        <v>1</v>
      </c>
      <c r="K47" s="14">
        <v>1</v>
      </c>
      <c r="L47" s="14">
        <v>0</v>
      </c>
      <c r="M47" s="14">
        <v>0</v>
      </c>
      <c r="N47" s="14">
        <v>1</v>
      </c>
      <c r="O47" s="14">
        <v>0</v>
      </c>
      <c r="P47" s="14">
        <v>1</v>
      </c>
      <c r="Q47" s="14">
        <v>0</v>
      </c>
      <c r="R47" s="14">
        <v>1</v>
      </c>
      <c r="S47" s="14">
        <v>0</v>
      </c>
      <c r="T47" s="14">
        <v>1</v>
      </c>
      <c r="U47" s="14">
        <v>0</v>
      </c>
      <c r="V47" s="14">
        <v>1</v>
      </c>
      <c r="W47" s="14">
        <v>0</v>
      </c>
      <c r="X47" s="113">
        <v>133500</v>
      </c>
      <c r="Y47" s="14">
        <f t="shared" si="14"/>
        <v>1</v>
      </c>
      <c r="Z47" s="14">
        <f t="shared" si="15"/>
        <v>8</v>
      </c>
      <c r="AA47" s="13" t="s">
        <v>67</v>
      </c>
      <c r="AB47" s="208"/>
      <c r="AC47" s="209"/>
      <c r="AD47" s="16">
        <f t="shared" si="16"/>
        <v>133500</v>
      </c>
      <c r="AE47" s="17"/>
      <c r="AF47" s="213">
        <f>SUM(AD41:AD53)</f>
        <v>1237400</v>
      </c>
      <c r="AG47" s="211"/>
      <c r="AH47" s="211"/>
      <c r="AI47" s="211"/>
      <c r="AJ47" s="212"/>
      <c r="AK47" s="234"/>
      <c r="AL47" s="233"/>
    </row>
    <row r="48" spans="1:40" s="47" customFormat="1" ht="123.75" customHeight="1" x14ac:dyDescent="2.1">
      <c r="A48" s="12"/>
      <c r="B48" s="13" t="s">
        <v>68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1</v>
      </c>
      <c r="U48" s="14">
        <v>0</v>
      </c>
      <c r="V48" s="14">
        <v>0</v>
      </c>
      <c r="W48" s="14">
        <v>0</v>
      </c>
      <c r="X48" s="113">
        <v>0</v>
      </c>
      <c r="Y48" s="14">
        <f t="shared" si="14"/>
        <v>0</v>
      </c>
      <c r="Z48" s="14">
        <f t="shared" si="15"/>
        <v>1</v>
      </c>
      <c r="AA48" s="13" t="s">
        <v>68</v>
      </c>
      <c r="AB48" s="208"/>
      <c r="AC48" s="209"/>
      <c r="AD48" s="16">
        <f t="shared" si="16"/>
        <v>0</v>
      </c>
      <c r="AE48" s="17"/>
      <c r="AF48" s="53"/>
      <c r="AG48" s="54"/>
      <c r="AH48" s="54"/>
      <c r="AI48" s="54"/>
      <c r="AJ48" s="55"/>
      <c r="AK48" s="234"/>
      <c r="AL48" s="233"/>
    </row>
    <row r="49" spans="1:40" s="47" customFormat="1" ht="146.25" customHeight="1" x14ac:dyDescent="2.1">
      <c r="A49" s="12"/>
      <c r="B49" s="13" t="s">
        <v>217</v>
      </c>
      <c r="C49" s="128">
        <v>1</v>
      </c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28">
        <v>0</v>
      </c>
      <c r="J49" s="128">
        <v>0</v>
      </c>
      <c r="K49" s="128">
        <v>0</v>
      </c>
      <c r="L49" s="128">
        <v>0</v>
      </c>
      <c r="M49" s="128">
        <v>0</v>
      </c>
      <c r="N49" s="128">
        <v>0</v>
      </c>
      <c r="O49" s="128">
        <v>0</v>
      </c>
      <c r="P49" s="128">
        <v>0</v>
      </c>
      <c r="Q49" s="128">
        <v>0</v>
      </c>
      <c r="R49" s="128">
        <v>0</v>
      </c>
      <c r="S49" s="128">
        <v>0</v>
      </c>
      <c r="T49" s="128">
        <v>0</v>
      </c>
      <c r="U49" s="128">
        <v>0</v>
      </c>
      <c r="V49" s="128">
        <v>0</v>
      </c>
      <c r="W49" s="128">
        <v>0</v>
      </c>
      <c r="X49" s="129">
        <v>133500</v>
      </c>
      <c r="Y49" s="14">
        <f t="shared" si="14"/>
        <v>1</v>
      </c>
      <c r="Z49" s="14">
        <f t="shared" si="15"/>
        <v>0</v>
      </c>
      <c r="AA49" s="13" t="s">
        <v>217</v>
      </c>
      <c r="AB49" s="208"/>
      <c r="AC49" s="209"/>
      <c r="AD49" s="16">
        <f t="shared" si="16"/>
        <v>133500</v>
      </c>
      <c r="AE49" s="17"/>
      <c r="AF49" s="53"/>
      <c r="AG49" s="54"/>
      <c r="AH49" s="54"/>
      <c r="AI49" s="54"/>
      <c r="AJ49" s="55"/>
      <c r="AK49" s="234"/>
      <c r="AL49" s="233"/>
    </row>
    <row r="50" spans="1:40" s="47" customFormat="1" ht="108.75" customHeight="1" x14ac:dyDescent="2.1">
      <c r="A50" s="12"/>
      <c r="B50" s="13" t="s">
        <v>70</v>
      </c>
      <c r="C50" s="14">
        <v>0</v>
      </c>
      <c r="D50" s="14"/>
      <c r="E50" s="14">
        <v>1</v>
      </c>
      <c r="F50" s="14"/>
      <c r="G50" s="14">
        <v>0</v>
      </c>
      <c r="H50" s="14"/>
      <c r="I50" s="14">
        <v>0</v>
      </c>
      <c r="J50" s="14"/>
      <c r="K50" s="14">
        <v>0</v>
      </c>
      <c r="L50" s="14"/>
      <c r="M50" s="14">
        <v>0</v>
      </c>
      <c r="N50" s="14"/>
      <c r="O50" s="14">
        <v>0</v>
      </c>
      <c r="P50" s="14"/>
      <c r="Q50" s="14">
        <v>0</v>
      </c>
      <c r="R50" s="14"/>
      <c r="S50" s="14">
        <v>0</v>
      </c>
      <c r="T50" s="14"/>
      <c r="U50" s="14">
        <v>0</v>
      </c>
      <c r="V50" s="14"/>
      <c r="W50" s="14">
        <v>0</v>
      </c>
      <c r="X50" s="117">
        <v>133500</v>
      </c>
      <c r="Y50" s="14">
        <f t="shared" si="14"/>
        <v>1</v>
      </c>
      <c r="Z50" s="14">
        <f t="shared" si="15"/>
        <v>0</v>
      </c>
      <c r="AA50" s="13" t="s">
        <v>70</v>
      </c>
      <c r="AB50" s="208"/>
      <c r="AC50" s="209"/>
      <c r="AD50" s="16">
        <f t="shared" si="16"/>
        <v>133500</v>
      </c>
      <c r="AE50" s="17"/>
      <c r="AF50" s="53"/>
      <c r="AG50" s="54"/>
      <c r="AH50" s="54"/>
      <c r="AI50" s="54"/>
      <c r="AJ50" s="55"/>
      <c r="AK50" s="234"/>
      <c r="AL50" s="233"/>
    </row>
    <row r="51" spans="1:40" s="47" customFormat="1" ht="146.25" hidden="1" x14ac:dyDescent="2.1">
      <c r="A51" s="12"/>
      <c r="B51" s="13" t="s">
        <v>71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13">
        <v>0</v>
      </c>
      <c r="Y51" s="14">
        <f t="shared" si="14"/>
        <v>0</v>
      </c>
      <c r="Z51" s="14">
        <f t="shared" si="15"/>
        <v>0</v>
      </c>
      <c r="AA51" s="13" t="s">
        <v>71</v>
      </c>
      <c r="AB51" s="208"/>
      <c r="AC51" s="209"/>
      <c r="AD51" s="16">
        <f t="shared" si="16"/>
        <v>0</v>
      </c>
      <c r="AE51" s="17"/>
      <c r="AF51" s="53"/>
      <c r="AG51" s="54"/>
      <c r="AH51" s="54"/>
      <c r="AI51" s="54"/>
      <c r="AJ51" s="55"/>
      <c r="AK51" s="234"/>
      <c r="AL51" s="233"/>
    </row>
    <row r="52" spans="1:40" s="47" customFormat="1" ht="146.25" hidden="1" customHeight="1" x14ac:dyDescent="2.1">
      <c r="A52" s="12"/>
      <c r="B52" s="13" t="s">
        <v>72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13">
        <v>0</v>
      </c>
      <c r="Y52" s="14">
        <f t="shared" si="14"/>
        <v>0</v>
      </c>
      <c r="Z52" s="14">
        <f t="shared" si="15"/>
        <v>0</v>
      </c>
      <c r="AA52" s="13" t="s">
        <v>72</v>
      </c>
      <c r="AB52" s="59"/>
      <c r="AC52" s="60"/>
      <c r="AD52" s="16">
        <f t="shared" si="16"/>
        <v>0</v>
      </c>
      <c r="AE52" s="17"/>
      <c r="AF52" s="53"/>
      <c r="AG52" s="54"/>
      <c r="AH52" s="54"/>
      <c r="AI52" s="54"/>
      <c r="AJ52" s="55"/>
      <c r="AK52" s="234"/>
      <c r="AL52" s="233"/>
    </row>
    <row r="53" spans="1:40" s="47" customFormat="1" ht="108.75" hidden="1" customHeight="1" thickBot="1" x14ac:dyDescent="2.15">
      <c r="A53" s="12"/>
      <c r="B53" s="13" t="s">
        <v>73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13">
        <v>0</v>
      </c>
      <c r="Y53" s="14">
        <f t="shared" si="14"/>
        <v>0</v>
      </c>
      <c r="Z53" s="14">
        <f t="shared" si="15"/>
        <v>0</v>
      </c>
      <c r="AA53" s="13" t="s">
        <v>73</v>
      </c>
      <c r="AB53" s="59"/>
      <c r="AC53" s="60"/>
      <c r="AD53" s="16">
        <f t="shared" si="16"/>
        <v>0</v>
      </c>
      <c r="AE53" s="17"/>
      <c r="AF53" s="61"/>
      <c r="AG53" s="62"/>
      <c r="AH53" s="62"/>
      <c r="AI53" s="62"/>
      <c r="AJ53" s="63"/>
      <c r="AK53" s="234"/>
      <c r="AL53" s="233"/>
    </row>
    <row r="54" spans="1:40" s="47" customFormat="1" ht="110.25" customHeight="1" x14ac:dyDescent="2.1">
      <c r="A54" s="12"/>
      <c r="B54" s="13"/>
      <c r="C54" s="30">
        <f t="shared" ref="C54:W54" si="17">SUM(C41:C53)</f>
        <v>3</v>
      </c>
      <c r="D54" s="30">
        <f t="shared" si="17"/>
        <v>6</v>
      </c>
      <c r="E54" s="30">
        <f t="shared" si="17"/>
        <v>1</v>
      </c>
      <c r="F54" s="30">
        <f t="shared" si="17"/>
        <v>4</v>
      </c>
      <c r="G54" s="30">
        <f t="shared" si="17"/>
        <v>2</v>
      </c>
      <c r="H54" s="30">
        <f t="shared" si="17"/>
        <v>3</v>
      </c>
      <c r="I54" s="30">
        <f t="shared" si="17"/>
        <v>0</v>
      </c>
      <c r="J54" s="30">
        <f t="shared" si="17"/>
        <v>4</v>
      </c>
      <c r="K54" s="30">
        <f t="shared" si="17"/>
        <v>1</v>
      </c>
      <c r="L54" s="30">
        <f t="shared" si="17"/>
        <v>4</v>
      </c>
      <c r="M54" s="30">
        <f t="shared" si="17"/>
        <v>0</v>
      </c>
      <c r="N54" s="30">
        <f t="shared" si="17"/>
        <v>4</v>
      </c>
      <c r="O54" s="30">
        <f t="shared" si="17"/>
        <v>1</v>
      </c>
      <c r="P54" s="30">
        <f t="shared" si="17"/>
        <v>3</v>
      </c>
      <c r="Q54" s="30">
        <f t="shared" si="17"/>
        <v>1</v>
      </c>
      <c r="R54" s="30">
        <f t="shared" si="17"/>
        <v>1</v>
      </c>
      <c r="S54" s="30">
        <f t="shared" si="17"/>
        <v>0</v>
      </c>
      <c r="T54" s="30">
        <f t="shared" si="17"/>
        <v>5</v>
      </c>
      <c r="U54" s="30">
        <f t="shared" si="17"/>
        <v>0</v>
      </c>
      <c r="V54" s="30">
        <f t="shared" si="17"/>
        <v>5</v>
      </c>
      <c r="W54" s="30">
        <f t="shared" si="17"/>
        <v>0</v>
      </c>
      <c r="X54" s="114">
        <v>0</v>
      </c>
      <c r="Y54" s="14"/>
      <c r="Z54" s="14"/>
      <c r="AA54" s="13"/>
      <c r="AB54" s="224"/>
      <c r="AC54" s="225"/>
      <c r="AD54" s="16">
        <f t="shared" si="16"/>
        <v>0</v>
      </c>
      <c r="AE54" s="17"/>
      <c r="AF54" s="54"/>
      <c r="AG54" s="54"/>
      <c r="AH54" s="54"/>
      <c r="AI54" s="54"/>
      <c r="AJ54" s="54"/>
      <c r="AK54" s="232"/>
      <c r="AL54" s="233"/>
    </row>
    <row r="55" spans="1:40" s="12" customFormat="1" ht="110.25" customHeight="1" x14ac:dyDescent="2.1">
      <c r="B55" s="13" t="s">
        <v>74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3">
        <v>0</v>
      </c>
      <c r="Y55" s="14">
        <f>SUM(C55,E55,G55,I55,K55,,M55,O55,Q55,S55,U55,W55)</f>
        <v>0</v>
      </c>
      <c r="Z55" s="14">
        <f>SUM(D55,F55,H55,J55,L55,,N55,P55,R55,T55,V55)</f>
        <v>0</v>
      </c>
      <c r="AA55" s="13" t="s">
        <v>74</v>
      </c>
      <c r="AB55" s="154"/>
      <c r="AC55" s="155"/>
      <c r="AD55" s="16">
        <f t="shared" si="16"/>
        <v>0</v>
      </c>
      <c r="AE55" s="17"/>
      <c r="AF55" s="2"/>
      <c r="AG55" s="2"/>
      <c r="AH55" s="2"/>
      <c r="AI55" s="2"/>
      <c r="AJ55" s="2"/>
      <c r="AK55" s="232"/>
      <c r="AL55" s="233"/>
      <c r="AM55" s="4"/>
      <c r="AN55" s="4"/>
    </row>
    <row r="56" spans="1:40" s="64" customFormat="1" ht="23.25" customHeight="1" x14ac:dyDescent="2.1">
      <c r="B56" s="65"/>
      <c r="C56" s="14">
        <v>0</v>
      </c>
      <c r="D56" s="14"/>
      <c r="E56" s="14">
        <v>0</v>
      </c>
      <c r="F56" s="14"/>
      <c r="G56" s="14">
        <v>0</v>
      </c>
      <c r="H56" s="14"/>
      <c r="I56" s="14">
        <v>0</v>
      </c>
      <c r="J56" s="14"/>
      <c r="K56" s="14">
        <v>0</v>
      </c>
      <c r="L56" s="14"/>
      <c r="M56" s="14">
        <v>0</v>
      </c>
      <c r="N56" s="14"/>
      <c r="O56" s="14">
        <v>0</v>
      </c>
      <c r="P56" s="14"/>
      <c r="Q56" s="14">
        <v>0</v>
      </c>
      <c r="R56" s="14"/>
      <c r="S56" s="14">
        <v>0</v>
      </c>
      <c r="T56" s="14"/>
      <c r="U56" s="14">
        <v>0</v>
      </c>
      <c r="V56" s="14"/>
      <c r="W56" s="14">
        <v>0</v>
      </c>
      <c r="X56" s="113">
        <v>0</v>
      </c>
      <c r="Y56" s="14">
        <f>SUM(D56,F56,H56,J56,L56,,N56,P56,R56,T56,V56,W56)</f>
        <v>0</v>
      </c>
      <c r="Z56" s="14">
        <f>SUM(C56,E56,G56,I56,K56,,M56,O56,Q56,S56,U56)</f>
        <v>0</v>
      </c>
      <c r="AA56" s="65"/>
      <c r="AB56" s="66"/>
      <c r="AC56" s="66"/>
      <c r="AD56" s="16">
        <f t="shared" si="16"/>
        <v>0</v>
      </c>
      <c r="AE56" s="17"/>
      <c r="AF56" s="2"/>
      <c r="AG56" s="2"/>
      <c r="AH56" s="2"/>
      <c r="AI56" s="2"/>
      <c r="AJ56" s="2"/>
      <c r="AK56" s="232"/>
      <c r="AL56" s="233"/>
      <c r="AM56" s="67"/>
      <c r="AN56" s="67"/>
    </row>
    <row r="57" spans="1:40" ht="108.75" customHeight="1" x14ac:dyDescent="2.1">
      <c r="B57" s="15" t="s">
        <v>75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3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13">
        <v>209300</v>
      </c>
      <c r="Y57" s="14">
        <f>SUM(C57,E57,G57,I57,K57,,M57,O57,Q57,S57,U57,W57)</f>
        <v>3</v>
      </c>
      <c r="Z57" s="14">
        <f>SUM(D57,F57,H57,J57,L57,,N57,P57,R57,T57,V57)</f>
        <v>0</v>
      </c>
      <c r="AA57" s="68" t="s">
        <v>76</v>
      </c>
      <c r="AB57" s="21">
        <f>Y57*4</f>
        <v>12</v>
      </c>
      <c r="AC57" s="226">
        <f>SUM(C59:W59)</f>
        <v>12</v>
      </c>
      <c r="AD57" s="16">
        <f t="shared" si="16"/>
        <v>209300</v>
      </c>
      <c r="AE57" s="17"/>
      <c r="AF57" s="69"/>
      <c r="AG57" s="69"/>
      <c r="AK57" s="232"/>
      <c r="AL57" s="233"/>
    </row>
    <row r="58" spans="1:40" ht="108.75" customHeight="1" x14ac:dyDescent="2.1">
      <c r="B58" s="15" t="s">
        <v>77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13">
        <v>0</v>
      </c>
      <c r="Y58" s="14">
        <f>SUM(C58,E58,G58,I58,K58,,M58,O58,Q58,S58,U58,W58)</f>
        <v>0</v>
      </c>
      <c r="Z58" s="14">
        <f>SUM(D58,F58,H58,J58,L58,,N58,P58,R58,T58,V58)</f>
        <v>0</v>
      </c>
      <c r="AA58" s="68" t="s">
        <v>77</v>
      </c>
      <c r="AB58" s="21">
        <f>Y58*4</f>
        <v>0</v>
      </c>
      <c r="AC58" s="227"/>
      <c r="AD58" s="16">
        <f t="shared" si="16"/>
        <v>0</v>
      </c>
      <c r="AE58" s="17"/>
      <c r="AK58" s="232"/>
      <c r="AL58" s="233"/>
    </row>
    <row r="59" spans="1:40" ht="110.25" customHeight="1" x14ac:dyDescent="2.1">
      <c r="B59" s="15"/>
      <c r="C59" s="30">
        <f>(C57+C58)*4</f>
        <v>0</v>
      </c>
      <c r="D59" s="30">
        <f t="shared" ref="D59:W59" si="18">(D57+D58)*4</f>
        <v>0</v>
      </c>
      <c r="E59" s="30">
        <f t="shared" si="18"/>
        <v>0</v>
      </c>
      <c r="F59" s="30">
        <f t="shared" si="18"/>
        <v>0</v>
      </c>
      <c r="G59" s="30">
        <f t="shared" si="18"/>
        <v>0</v>
      </c>
      <c r="H59" s="30">
        <f t="shared" si="18"/>
        <v>0</v>
      </c>
      <c r="I59" s="30">
        <f t="shared" si="18"/>
        <v>0</v>
      </c>
      <c r="J59" s="30">
        <f t="shared" si="18"/>
        <v>0</v>
      </c>
      <c r="K59" s="30">
        <f t="shared" si="18"/>
        <v>0</v>
      </c>
      <c r="L59" s="30">
        <f t="shared" si="18"/>
        <v>0</v>
      </c>
      <c r="M59" s="30">
        <f t="shared" si="18"/>
        <v>0</v>
      </c>
      <c r="N59" s="30">
        <f t="shared" si="18"/>
        <v>0</v>
      </c>
      <c r="O59" s="30">
        <f t="shared" si="18"/>
        <v>0</v>
      </c>
      <c r="P59" s="30">
        <f t="shared" si="18"/>
        <v>0</v>
      </c>
      <c r="Q59" s="30">
        <f t="shared" si="18"/>
        <v>12</v>
      </c>
      <c r="R59" s="30">
        <f t="shared" si="18"/>
        <v>0</v>
      </c>
      <c r="S59" s="30">
        <f t="shared" si="18"/>
        <v>0</v>
      </c>
      <c r="T59" s="30">
        <f t="shared" si="18"/>
        <v>0</v>
      </c>
      <c r="U59" s="30">
        <f t="shared" si="18"/>
        <v>0</v>
      </c>
      <c r="V59" s="30">
        <f t="shared" si="18"/>
        <v>0</v>
      </c>
      <c r="W59" s="30">
        <f t="shared" si="18"/>
        <v>0</v>
      </c>
      <c r="X59" s="114"/>
      <c r="Y59" s="14"/>
      <c r="Z59" s="14"/>
      <c r="AA59" s="68"/>
      <c r="AB59" s="150"/>
      <c r="AC59" s="151"/>
      <c r="AD59" s="33">
        <f t="shared" si="16"/>
        <v>0</v>
      </c>
      <c r="AE59" s="17"/>
      <c r="AK59" s="232"/>
      <c r="AL59" s="233"/>
    </row>
    <row r="60" spans="1:40" ht="123.75" customHeight="1" x14ac:dyDescent="2.1">
      <c r="B60" s="172" t="s">
        <v>78</v>
      </c>
      <c r="C60" s="142" t="s">
        <v>2</v>
      </c>
      <c r="D60" s="143"/>
      <c r="E60" s="142" t="s">
        <v>3</v>
      </c>
      <c r="F60" s="143"/>
      <c r="G60" s="142" t="s">
        <v>4</v>
      </c>
      <c r="H60" s="143"/>
      <c r="I60" s="142" t="s">
        <v>5</v>
      </c>
      <c r="J60" s="143"/>
      <c r="K60" s="142" t="s">
        <v>6</v>
      </c>
      <c r="L60" s="143"/>
      <c r="M60" s="142" t="s">
        <v>8</v>
      </c>
      <c r="N60" s="143"/>
      <c r="O60" s="142" t="s">
        <v>9</v>
      </c>
      <c r="P60" s="143"/>
      <c r="Q60" s="142" t="s">
        <v>10</v>
      </c>
      <c r="R60" s="143"/>
      <c r="S60" s="142" t="s">
        <v>11</v>
      </c>
      <c r="T60" s="143"/>
      <c r="U60" s="142" t="s">
        <v>12</v>
      </c>
      <c r="V60" s="143"/>
      <c r="W60" s="172" t="s">
        <v>13</v>
      </c>
      <c r="X60" s="111"/>
      <c r="Y60" s="172" t="s">
        <v>14</v>
      </c>
      <c r="Z60" s="172" t="s">
        <v>15</v>
      </c>
      <c r="AA60" s="172" t="s">
        <v>78</v>
      </c>
      <c r="AB60" s="148"/>
      <c r="AC60" s="149"/>
      <c r="AD60" s="6" t="s">
        <v>17</v>
      </c>
      <c r="AE60" s="7"/>
      <c r="AK60" s="70"/>
      <c r="AL60" s="71"/>
    </row>
    <row r="61" spans="1:40" s="4" customFormat="1" ht="138" customHeight="1" thickBot="1" x14ac:dyDescent="2.4">
      <c r="B61" s="173"/>
      <c r="C61" s="9" t="s">
        <v>18</v>
      </c>
      <c r="D61" s="9" t="s">
        <v>19</v>
      </c>
      <c r="E61" s="9" t="s">
        <v>18</v>
      </c>
      <c r="F61" s="9" t="s">
        <v>19</v>
      </c>
      <c r="G61" s="9" t="s">
        <v>18</v>
      </c>
      <c r="H61" s="9" t="s">
        <v>19</v>
      </c>
      <c r="I61" s="9" t="s">
        <v>18</v>
      </c>
      <c r="J61" s="9" t="s">
        <v>19</v>
      </c>
      <c r="K61" s="9" t="s">
        <v>18</v>
      </c>
      <c r="L61" s="9" t="s">
        <v>19</v>
      </c>
      <c r="M61" s="9" t="s">
        <v>18</v>
      </c>
      <c r="N61" s="9" t="s">
        <v>19</v>
      </c>
      <c r="O61" s="9" t="s">
        <v>18</v>
      </c>
      <c r="P61" s="9" t="s">
        <v>19</v>
      </c>
      <c r="Q61" s="9" t="s">
        <v>18</v>
      </c>
      <c r="R61" s="9" t="s">
        <v>19</v>
      </c>
      <c r="S61" s="9" t="s">
        <v>18</v>
      </c>
      <c r="T61" s="9" t="s">
        <v>19</v>
      </c>
      <c r="U61" s="9" t="s">
        <v>18</v>
      </c>
      <c r="V61" s="9" t="s">
        <v>19</v>
      </c>
      <c r="W61" s="173"/>
      <c r="X61" s="112"/>
      <c r="Y61" s="173"/>
      <c r="Z61" s="173"/>
      <c r="AA61" s="173"/>
      <c r="AB61" s="10"/>
      <c r="AC61" s="11"/>
      <c r="AD61" s="6"/>
      <c r="AE61" s="7"/>
      <c r="AF61" s="2"/>
      <c r="AG61" s="2"/>
      <c r="AH61" s="2"/>
      <c r="AI61" s="2"/>
      <c r="AJ61" s="2"/>
      <c r="AK61" s="8"/>
      <c r="AL61" s="8"/>
    </row>
    <row r="62" spans="1:40" s="12" customFormat="1" ht="113.25" customHeight="1" x14ac:dyDescent="2.1">
      <c r="B62" s="13" t="s">
        <v>79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13">
        <v>0</v>
      </c>
      <c r="Y62" s="14">
        <f t="shared" ref="Y62:Y68" si="19">SUM(C62,E62,G62,I62,K62,,M62,O62,Q62,S62,U62,W62)</f>
        <v>0</v>
      </c>
      <c r="Z62" s="14">
        <f t="shared" ref="Z62:Z68" si="20">SUM(D62,F62,H62,J62,L62,,N62,P62,R62,T62,V62)</f>
        <v>0</v>
      </c>
      <c r="AA62" s="13" t="s">
        <v>79</v>
      </c>
      <c r="AB62" s="176">
        <f>SUM(Y62:Y68)</f>
        <v>15</v>
      </c>
      <c r="AC62" s="177"/>
      <c r="AD62" s="16">
        <f>X62</f>
        <v>0</v>
      </c>
      <c r="AE62" s="17"/>
      <c r="AF62" s="72"/>
      <c r="AG62" s="73"/>
      <c r="AH62" s="73"/>
      <c r="AI62" s="73"/>
      <c r="AJ62" s="74"/>
      <c r="AK62" s="70"/>
      <c r="AL62" s="71"/>
    </row>
    <row r="63" spans="1:40" s="12" customFormat="1" ht="113.25" customHeight="1" x14ac:dyDescent="2.1">
      <c r="B63" s="13" t="s">
        <v>80</v>
      </c>
      <c r="C63" s="14">
        <v>0</v>
      </c>
      <c r="D63" s="14">
        <v>1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</v>
      </c>
      <c r="M63" s="14">
        <v>0</v>
      </c>
      <c r="N63" s="14">
        <v>1</v>
      </c>
      <c r="O63" s="14">
        <v>1</v>
      </c>
      <c r="P63" s="14">
        <v>0</v>
      </c>
      <c r="Q63" s="14">
        <v>0</v>
      </c>
      <c r="R63" s="14">
        <v>1</v>
      </c>
      <c r="S63" s="14">
        <v>1</v>
      </c>
      <c r="T63" s="14">
        <v>0</v>
      </c>
      <c r="U63" s="14">
        <v>0</v>
      </c>
      <c r="V63" s="14">
        <v>2</v>
      </c>
      <c r="W63" s="14">
        <v>0</v>
      </c>
      <c r="X63" s="113">
        <v>44000</v>
      </c>
      <c r="Y63" s="14">
        <f t="shared" si="19"/>
        <v>2</v>
      </c>
      <c r="Z63" s="14">
        <f t="shared" si="20"/>
        <v>6</v>
      </c>
      <c r="AA63" s="13" t="s">
        <v>80</v>
      </c>
      <c r="AB63" s="208"/>
      <c r="AC63" s="209"/>
      <c r="AD63" s="16">
        <f t="shared" ref="AD63:AD68" si="21">X63</f>
        <v>44000</v>
      </c>
      <c r="AE63" s="17"/>
      <c r="AF63" s="210" t="s">
        <v>78</v>
      </c>
      <c r="AG63" s="211"/>
      <c r="AH63" s="211"/>
      <c r="AI63" s="211"/>
      <c r="AJ63" s="212"/>
      <c r="AK63" s="70"/>
      <c r="AL63" s="71"/>
    </row>
    <row r="64" spans="1:40" s="12" customFormat="1" ht="113.25" customHeight="1" x14ac:dyDescent="2.1">
      <c r="B64" s="13" t="s">
        <v>81</v>
      </c>
      <c r="C64" s="14">
        <v>0</v>
      </c>
      <c r="D64" s="14">
        <v>1</v>
      </c>
      <c r="E64" s="14">
        <v>0</v>
      </c>
      <c r="F64" s="14">
        <v>3</v>
      </c>
      <c r="G64" s="14">
        <v>0</v>
      </c>
      <c r="H64" s="14">
        <v>0</v>
      </c>
      <c r="I64" s="14">
        <v>0</v>
      </c>
      <c r="J64" s="14">
        <v>1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2</v>
      </c>
      <c r="Q64" s="14">
        <v>0</v>
      </c>
      <c r="R64" s="14">
        <v>2</v>
      </c>
      <c r="S64" s="14">
        <v>0</v>
      </c>
      <c r="T64" s="14">
        <v>3</v>
      </c>
      <c r="U64" s="14">
        <v>0</v>
      </c>
      <c r="V64" s="14">
        <v>2</v>
      </c>
      <c r="W64" s="14">
        <v>0</v>
      </c>
      <c r="X64" s="113">
        <v>0</v>
      </c>
      <c r="Y64" s="14">
        <f t="shared" si="19"/>
        <v>0</v>
      </c>
      <c r="Z64" s="14">
        <f t="shared" si="20"/>
        <v>14</v>
      </c>
      <c r="AA64" s="13" t="s">
        <v>81</v>
      </c>
      <c r="AB64" s="208"/>
      <c r="AC64" s="209"/>
      <c r="AD64" s="16">
        <f t="shared" si="21"/>
        <v>0</v>
      </c>
      <c r="AE64" s="17"/>
      <c r="AF64" s="213">
        <f>SUM(AD62:AD68)</f>
        <v>330000</v>
      </c>
      <c r="AG64" s="214"/>
      <c r="AH64" s="214"/>
      <c r="AI64" s="214"/>
      <c r="AJ64" s="215"/>
      <c r="AK64" s="70"/>
      <c r="AL64" s="71"/>
    </row>
    <row r="65" spans="2:40" s="12" customFormat="1" ht="113.25" customHeight="1" x14ac:dyDescent="2.1">
      <c r="B65" s="13" t="s">
        <v>82</v>
      </c>
      <c r="C65" s="14">
        <v>0</v>
      </c>
      <c r="D65" s="14"/>
      <c r="E65" s="14">
        <v>1</v>
      </c>
      <c r="F65" s="14"/>
      <c r="G65" s="14">
        <v>0</v>
      </c>
      <c r="H65" s="14"/>
      <c r="I65" s="14">
        <v>0</v>
      </c>
      <c r="J65" s="14"/>
      <c r="K65" s="14">
        <v>0</v>
      </c>
      <c r="L65" s="14"/>
      <c r="M65" s="14">
        <v>0</v>
      </c>
      <c r="N65" s="14"/>
      <c r="O65" s="14">
        <v>0</v>
      </c>
      <c r="P65" s="14"/>
      <c r="Q65" s="14">
        <v>0</v>
      </c>
      <c r="R65" s="14"/>
      <c r="S65" s="14">
        <v>0</v>
      </c>
      <c r="T65" s="14"/>
      <c r="U65" s="14">
        <v>0</v>
      </c>
      <c r="V65" s="14"/>
      <c r="W65" s="14">
        <v>0</v>
      </c>
      <c r="X65" s="113">
        <v>22000</v>
      </c>
      <c r="Y65" s="14">
        <f t="shared" si="19"/>
        <v>1</v>
      </c>
      <c r="Z65" s="14">
        <f t="shared" si="20"/>
        <v>0</v>
      </c>
      <c r="AA65" s="13" t="s">
        <v>82</v>
      </c>
      <c r="AB65" s="208"/>
      <c r="AC65" s="209"/>
      <c r="AD65" s="16">
        <f t="shared" si="21"/>
        <v>22000</v>
      </c>
      <c r="AE65" s="17"/>
      <c r="AF65" s="56"/>
      <c r="AG65" s="54"/>
      <c r="AH65" s="54"/>
      <c r="AI65" s="54"/>
      <c r="AJ65" s="55"/>
      <c r="AK65" s="70"/>
      <c r="AL65" s="71"/>
    </row>
    <row r="66" spans="2:40" s="12" customFormat="1" ht="113.25" customHeight="1" x14ac:dyDescent="2.1">
      <c r="B66" s="13" t="s">
        <v>83</v>
      </c>
      <c r="C66" s="14">
        <v>0</v>
      </c>
      <c r="D66" s="14">
        <v>0</v>
      </c>
      <c r="E66" s="14">
        <v>0</v>
      </c>
      <c r="F66" s="14">
        <v>1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2</v>
      </c>
      <c r="W66" s="14">
        <v>0</v>
      </c>
      <c r="X66" s="113">
        <v>0</v>
      </c>
      <c r="Y66" s="14">
        <f t="shared" si="19"/>
        <v>0</v>
      </c>
      <c r="Z66" s="14">
        <f t="shared" si="20"/>
        <v>3</v>
      </c>
      <c r="AA66" s="13" t="s">
        <v>83</v>
      </c>
      <c r="AB66" s="208"/>
      <c r="AC66" s="209"/>
      <c r="AD66" s="16">
        <f t="shared" si="21"/>
        <v>0</v>
      </c>
      <c r="AE66" s="17"/>
      <c r="AF66" s="56"/>
      <c r="AG66" s="54"/>
      <c r="AH66" s="54"/>
      <c r="AI66" s="54"/>
      <c r="AJ66" s="55"/>
      <c r="AK66" s="70"/>
      <c r="AL66" s="71"/>
    </row>
    <row r="67" spans="2:40" s="12" customFormat="1" ht="113.25" customHeight="1" x14ac:dyDescent="2.1">
      <c r="B67" s="13" t="s">
        <v>84</v>
      </c>
      <c r="C67" s="14">
        <v>1</v>
      </c>
      <c r="D67" s="14">
        <v>2</v>
      </c>
      <c r="E67" s="14">
        <v>0</v>
      </c>
      <c r="F67" s="14">
        <v>4</v>
      </c>
      <c r="G67" s="14">
        <v>2</v>
      </c>
      <c r="H67" s="14">
        <v>1</v>
      </c>
      <c r="I67" s="14">
        <v>2</v>
      </c>
      <c r="J67" s="14">
        <v>1</v>
      </c>
      <c r="K67" s="14">
        <v>1</v>
      </c>
      <c r="L67" s="14">
        <v>2</v>
      </c>
      <c r="M67" s="14">
        <v>2</v>
      </c>
      <c r="N67" s="14">
        <v>1</v>
      </c>
      <c r="O67" s="14">
        <v>0</v>
      </c>
      <c r="P67" s="14">
        <v>0</v>
      </c>
      <c r="Q67" s="14">
        <v>0</v>
      </c>
      <c r="R67" s="14">
        <v>2</v>
      </c>
      <c r="S67" s="14">
        <v>0</v>
      </c>
      <c r="T67" s="14">
        <v>2</v>
      </c>
      <c r="U67" s="14">
        <v>0</v>
      </c>
      <c r="V67" s="14">
        <v>3</v>
      </c>
      <c r="W67" s="14">
        <v>0</v>
      </c>
      <c r="X67" s="113">
        <v>176000</v>
      </c>
      <c r="Y67" s="14">
        <f t="shared" si="19"/>
        <v>8</v>
      </c>
      <c r="Z67" s="14">
        <f t="shared" si="20"/>
        <v>18</v>
      </c>
      <c r="AA67" s="13" t="s">
        <v>84</v>
      </c>
      <c r="AB67" s="178"/>
      <c r="AC67" s="179"/>
      <c r="AD67" s="16">
        <f t="shared" si="21"/>
        <v>176000</v>
      </c>
      <c r="AE67" s="17"/>
      <c r="AF67" s="58"/>
      <c r="AG67" s="2"/>
      <c r="AH67" s="2"/>
      <c r="AI67" s="2"/>
      <c r="AJ67" s="57"/>
      <c r="AK67" s="70"/>
      <c r="AL67" s="71"/>
    </row>
    <row r="68" spans="2:40" s="12" customFormat="1" ht="113.25" customHeight="1" x14ac:dyDescent="2.1">
      <c r="B68" s="13" t="s">
        <v>85</v>
      </c>
      <c r="C68" s="14">
        <v>0</v>
      </c>
      <c r="D68" s="14">
        <v>3</v>
      </c>
      <c r="E68" s="14">
        <v>0</v>
      </c>
      <c r="F68" s="14">
        <v>3</v>
      </c>
      <c r="G68" s="14">
        <v>0</v>
      </c>
      <c r="H68" s="14">
        <v>0</v>
      </c>
      <c r="I68" s="14">
        <v>2</v>
      </c>
      <c r="J68" s="14">
        <v>0</v>
      </c>
      <c r="K68" s="14">
        <v>1</v>
      </c>
      <c r="L68" s="14">
        <v>1</v>
      </c>
      <c r="M68" s="14">
        <v>0</v>
      </c>
      <c r="N68" s="14">
        <v>0</v>
      </c>
      <c r="O68" s="14">
        <v>0</v>
      </c>
      <c r="P68" s="14">
        <v>2</v>
      </c>
      <c r="Q68" s="14">
        <v>0</v>
      </c>
      <c r="R68" s="14">
        <v>2</v>
      </c>
      <c r="S68" s="14">
        <v>0</v>
      </c>
      <c r="T68" s="14">
        <v>0</v>
      </c>
      <c r="U68" s="14">
        <v>1</v>
      </c>
      <c r="V68" s="14">
        <v>1</v>
      </c>
      <c r="W68" s="14">
        <v>0</v>
      </c>
      <c r="X68" s="113">
        <v>88000</v>
      </c>
      <c r="Y68" s="14">
        <f t="shared" si="19"/>
        <v>4</v>
      </c>
      <c r="Z68" s="14">
        <f t="shared" si="20"/>
        <v>12</v>
      </c>
      <c r="AA68" s="13" t="s">
        <v>85</v>
      </c>
      <c r="AB68" s="154"/>
      <c r="AC68" s="155"/>
      <c r="AD68" s="16">
        <f t="shared" si="21"/>
        <v>88000</v>
      </c>
      <c r="AE68" s="17"/>
      <c r="AF68" s="2"/>
      <c r="AG68" s="2"/>
      <c r="AH68" s="2"/>
      <c r="AI68" s="2"/>
      <c r="AJ68" s="2"/>
      <c r="AK68" s="70"/>
      <c r="AL68" s="71"/>
    </row>
    <row r="69" spans="2:40" s="12" customFormat="1" ht="113.25" customHeight="1" x14ac:dyDescent="2.1">
      <c r="B69" s="13"/>
      <c r="C69" s="30">
        <f t="shared" ref="C69:W69" si="22">SUM(C62:C68)</f>
        <v>1</v>
      </c>
      <c r="D69" s="30">
        <f t="shared" si="22"/>
        <v>7</v>
      </c>
      <c r="E69" s="30">
        <f t="shared" si="22"/>
        <v>1</v>
      </c>
      <c r="F69" s="30">
        <f t="shared" si="22"/>
        <v>11</v>
      </c>
      <c r="G69" s="30">
        <f t="shared" si="22"/>
        <v>2</v>
      </c>
      <c r="H69" s="30">
        <f t="shared" si="22"/>
        <v>1</v>
      </c>
      <c r="I69" s="30">
        <f t="shared" si="22"/>
        <v>4</v>
      </c>
      <c r="J69" s="30">
        <f t="shared" si="22"/>
        <v>2</v>
      </c>
      <c r="K69" s="30">
        <f t="shared" si="22"/>
        <v>2</v>
      </c>
      <c r="L69" s="30">
        <f t="shared" si="22"/>
        <v>4</v>
      </c>
      <c r="M69" s="30">
        <f t="shared" si="22"/>
        <v>2</v>
      </c>
      <c r="N69" s="30">
        <f t="shared" si="22"/>
        <v>2</v>
      </c>
      <c r="O69" s="30">
        <f t="shared" si="22"/>
        <v>1</v>
      </c>
      <c r="P69" s="30">
        <f t="shared" si="22"/>
        <v>4</v>
      </c>
      <c r="Q69" s="30">
        <f t="shared" si="22"/>
        <v>0</v>
      </c>
      <c r="R69" s="30">
        <f t="shared" si="22"/>
        <v>7</v>
      </c>
      <c r="S69" s="30">
        <f t="shared" si="22"/>
        <v>1</v>
      </c>
      <c r="T69" s="30">
        <f t="shared" si="22"/>
        <v>5</v>
      </c>
      <c r="U69" s="30">
        <f t="shared" si="22"/>
        <v>1</v>
      </c>
      <c r="V69" s="30">
        <f t="shared" si="22"/>
        <v>10</v>
      </c>
      <c r="W69" s="30">
        <f t="shared" si="22"/>
        <v>0</v>
      </c>
      <c r="X69" s="114"/>
      <c r="Y69" s="14"/>
      <c r="Z69" s="14"/>
      <c r="AA69" s="13"/>
      <c r="AB69" s="154"/>
      <c r="AC69" s="155"/>
      <c r="AD69" s="16">
        <v>0</v>
      </c>
      <c r="AE69" s="17"/>
      <c r="AF69" s="2"/>
      <c r="AG69" s="2"/>
      <c r="AH69" s="2"/>
      <c r="AI69" s="2"/>
      <c r="AJ69" s="2"/>
      <c r="AK69" s="70"/>
      <c r="AL69" s="71"/>
    </row>
    <row r="70" spans="2:40" s="4" customFormat="1" ht="132" customHeight="1" thickBot="1" x14ac:dyDescent="2.4">
      <c r="B70" s="48" t="s">
        <v>1</v>
      </c>
      <c r="C70" s="142" t="s">
        <v>2</v>
      </c>
      <c r="D70" s="143"/>
      <c r="E70" s="142" t="s">
        <v>3</v>
      </c>
      <c r="F70" s="143"/>
      <c r="G70" s="142" t="s">
        <v>4</v>
      </c>
      <c r="H70" s="143"/>
      <c r="I70" s="142" t="s">
        <v>5</v>
      </c>
      <c r="J70" s="143"/>
      <c r="K70" s="142" t="s">
        <v>6</v>
      </c>
      <c r="L70" s="143"/>
      <c r="M70" s="142" t="s">
        <v>8</v>
      </c>
      <c r="N70" s="143"/>
      <c r="O70" s="142" t="s">
        <v>9</v>
      </c>
      <c r="P70" s="143"/>
      <c r="Q70" s="142" t="s">
        <v>10</v>
      </c>
      <c r="R70" s="143"/>
      <c r="S70" s="142" t="s">
        <v>11</v>
      </c>
      <c r="T70" s="143"/>
      <c r="U70" s="142" t="s">
        <v>12</v>
      </c>
      <c r="V70" s="143"/>
      <c r="W70" s="9" t="s">
        <v>13</v>
      </c>
      <c r="X70" s="119"/>
      <c r="Y70" s="49" t="s">
        <v>14</v>
      </c>
      <c r="Z70" s="49" t="s">
        <v>15</v>
      </c>
      <c r="AA70" s="48" t="s">
        <v>1</v>
      </c>
      <c r="AB70" s="148"/>
      <c r="AC70" s="149"/>
      <c r="AD70" s="6" t="s">
        <v>17</v>
      </c>
      <c r="AE70" s="7"/>
      <c r="AF70" s="2"/>
      <c r="AG70" s="2"/>
      <c r="AH70" s="2"/>
      <c r="AI70" s="2"/>
      <c r="AJ70" s="2"/>
      <c r="AK70" s="8"/>
      <c r="AL70" s="8"/>
      <c r="AM70" s="12"/>
      <c r="AN70" s="12"/>
    </row>
    <row r="71" spans="2:40" s="12" customFormat="1" ht="113.25" customHeight="1" x14ac:dyDescent="2.1">
      <c r="B71" s="13" t="s">
        <v>86</v>
      </c>
      <c r="C71" s="14">
        <v>0</v>
      </c>
      <c r="D71" s="14">
        <v>4</v>
      </c>
      <c r="E71" s="14">
        <v>1</v>
      </c>
      <c r="F71" s="14">
        <v>5</v>
      </c>
      <c r="G71" s="14">
        <v>1</v>
      </c>
      <c r="H71" s="14">
        <v>4</v>
      </c>
      <c r="I71" s="14">
        <v>3</v>
      </c>
      <c r="J71" s="14">
        <v>2</v>
      </c>
      <c r="K71" s="14">
        <v>1</v>
      </c>
      <c r="L71" s="14">
        <v>6</v>
      </c>
      <c r="M71" s="14">
        <v>4</v>
      </c>
      <c r="N71" s="14">
        <v>3</v>
      </c>
      <c r="O71" s="14">
        <v>0</v>
      </c>
      <c r="P71" s="14">
        <v>3</v>
      </c>
      <c r="Q71" s="14">
        <v>0</v>
      </c>
      <c r="R71" s="14">
        <v>3</v>
      </c>
      <c r="S71" s="14">
        <v>2</v>
      </c>
      <c r="T71" s="14">
        <v>4</v>
      </c>
      <c r="U71" s="14">
        <v>1</v>
      </c>
      <c r="V71" s="14">
        <v>3</v>
      </c>
      <c r="W71" s="14">
        <v>0</v>
      </c>
      <c r="X71" s="113">
        <v>340600</v>
      </c>
      <c r="Y71" s="14">
        <f>SUM(C71,E71,G71,I71,K71,,M71,O71,Q71,S71,U71,W71)</f>
        <v>13</v>
      </c>
      <c r="Z71" s="14">
        <f>SUM(D71,F71,H71,J71,L71,,N71,P71,R71,T71,V71)</f>
        <v>37</v>
      </c>
      <c r="AA71" s="13" t="s">
        <v>86</v>
      </c>
      <c r="AB71" s="176">
        <f>SUM(Y71:Y72)</f>
        <v>31</v>
      </c>
      <c r="AC71" s="177"/>
      <c r="AD71" s="16">
        <f>X71</f>
        <v>340600</v>
      </c>
      <c r="AE71" s="17"/>
      <c r="AF71" s="216" t="s">
        <v>87</v>
      </c>
      <c r="AG71" s="217"/>
      <c r="AH71" s="217"/>
      <c r="AI71" s="217"/>
      <c r="AJ71" s="217"/>
      <c r="AK71" s="218">
        <f>SUM(AD71:AD81)</f>
        <v>1034300</v>
      </c>
      <c r="AL71" s="219"/>
      <c r="AM71" s="29"/>
      <c r="AN71" s="29"/>
    </row>
    <row r="72" spans="2:40" s="29" customFormat="1" ht="113.25" customHeight="1" thickBot="1" x14ac:dyDescent="2.15">
      <c r="B72" s="38" t="s">
        <v>88</v>
      </c>
      <c r="C72" s="14">
        <v>0</v>
      </c>
      <c r="D72" s="14">
        <v>3</v>
      </c>
      <c r="E72" s="14">
        <v>2</v>
      </c>
      <c r="F72" s="14">
        <v>2</v>
      </c>
      <c r="G72" s="14">
        <v>0</v>
      </c>
      <c r="H72" s="14">
        <v>4</v>
      </c>
      <c r="I72" s="14">
        <v>3</v>
      </c>
      <c r="J72" s="14">
        <v>1</v>
      </c>
      <c r="K72" s="14">
        <v>2</v>
      </c>
      <c r="L72" s="14">
        <v>3</v>
      </c>
      <c r="M72" s="14">
        <v>3</v>
      </c>
      <c r="N72" s="14">
        <v>0</v>
      </c>
      <c r="O72" s="14">
        <v>0</v>
      </c>
      <c r="P72" s="14">
        <v>3</v>
      </c>
      <c r="Q72" s="14">
        <v>1</v>
      </c>
      <c r="R72" s="14">
        <v>1</v>
      </c>
      <c r="S72" s="14">
        <v>4</v>
      </c>
      <c r="T72" s="14">
        <v>1</v>
      </c>
      <c r="U72" s="14">
        <v>3</v>
      </c>
      <c r="V72" s="14">
        <v>1</v>
      </c>
      <c r="W72" s="14">
        <v>0</v>
      </c>
      <c r="X72" s="113">
        <v>475200</v>
      </c>
      <c r="Y72" s="14">
        <f>SUM(C72,E72,G72,I72,K72,,M72,O72,Q72,S72,U72,W72)</f>
        <v>18</v>
      </c>
      <c r="Z72" s="14">
        <f>SUM(D72,F72,H72,J72,L72,,N72,P72,R72,T72,V72)</f>
        <v>19</v>
      </c>
      <c r="AA72" s="38" t="s">
        <v>88</v>
      </c>
      <c r="AB72" s="178"/>
      <c r="AC72" s="179"/>
      <c r="AD72" s="16">
        <f t="shared" ref="AD72:AD86" si="23">X72</f>
        <v>475200</v>
      </c>
      <c r="AE72" s="75"/>
      <c r="AF72" s="204">
        <f>+AD71+AD72</f>
        <v>815800</v>
      </c>
      <c r="AG72" s="205"/>
      <c r="AH72" s="205"/>
      <c r="AI72" s="205"/>
      <c r="AJ72" s="205"/>
      <c r="AK72" s="220"/>
      <c r="AL72" s="221"/>
      <c r="AM72" s="12"/>
      <c r="AN72" s="12"/>
    </row>
    <row r="73" spans="2:40" s="29" customFormat="1" ht="113.25" customHeight="1" thickBot="1" x14ac:dyDescent="2.15">
      <c r="B73" s="38"/>
      <c r="C73" s="30">
        <f>SUM(C71:C72)</f>
        <v>0</v>
      </c>
      <c r="D73" s="30">
        <f t="shared" ref="D73:W73" si="24">SUM(D71:D72)</f>
        <v>7</v>
      </c>
      <c r="E73" s="30">
        <f t="shared" si="24"/>
        <v>3</v>
      </c>
      <c r="F73" s="30">
        <f t="shared" si="24"/>
        <v>7</v>
      </c>
      <c r="G73" s="30">
        <f t="shared" si="24"/>
        <v>1</v>
      </c>
      <c r="H73" s="30">
        <f t="shared" si="24"/>
        <v>8</v>
      </c>
      <c r="I73" s="30">
        <f t="shared" si="24"/>
        <v>6</v>
      </c>
      <c r="J73" s="30">
        <f t="shared" si="24"/>
        <v>3</v>
      </c>
      <c r="K73" s="30">
        <f t="shared" si="24"/>
        <v>3</v>
      </c>
      <c r="L73" s="30">
        <f t="shared" si="24"/>
        <v>9</v>
      </c>
      <c r="M73" s="30">
        <f t="shared" si="24"/>
        <v>7</v>
      </c>
      <c r="N73" s="30">
        <f t="shared" si="24"/>
        <v>3</v>
      </c>
      <c r="O73" s="30">
        <f t="shared" si="24"/>
        <v>0</v>
      </c>
      <c r="P73" s="30">
        <f t="shared" si="24"/>
        <v>6</v>
      </c>
      <c r="Q73" s="30">
        <f t="shared" si="24"/>
        <v>1</v>
      </c>
      <c r="R73" s="30">
        <f t="shared" si="24"/>
        <v>4</v>
      </c>
      <c r="S73" s="30">
        <f t="shared" si="24"/>
        <v>6</v>
      </c>
      <c r="T73" s="30">
        <f t="shared" si="24"/>
        <v>5</v>
      </c>
      <c r="U73" s="30">
        <f t="shared" si="24"/>
        <v>4</v>
      </c>
      <c r="V73" s="30">
        <f t="shared" si="24"/>
        <v>4</v>
      </c>
      <c r="W73" s="30">
        <f t="shared" si="24"/>
        <v>0</v>
      </c>
      <c r="X73" s="114">
        <v>0</v>
      </c>
      <c r="Y73" s="14"/>
      <c r="Z73" s="14"/>
      <c r="AA73" s="38"/>
      <c r="AB73" s="222"/>
      <c r="AC73" s="223"/>
      <c r="AD73" s="16">
        <f t="shared" si="23"/>
        <v>0</v>
      </c>
      <c r="AE73" s="75"/>
      <c r="AF73" s="44"/>
      <c r="AG73" s="76"/>
      <c r="AH73" s="76"/>
      <c r="AI73" s="76"/>
      <c r="AJ73" s="76"/>
      <c r="AK73" s="220"/>
      <c r="AL73" s="221"/>
      <c r="AM73" s="12"/>
      <c r="AN73" s="12"/>
    </row>
    <row r="74" spans="2:40" s="12" customFormat="1" ht="113.25" customHeight="1" x14ac:dyDescent="2.1">
      <c r="B74" s="13" t="s">
        <v>89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17">
        <v>0</v>
      </c>
      <c r="Y74" s="14">
        <f t="shared" ref="Y74:Y86" si="25">SUM(C74,E74,G74,I74,K74,,M74,O74,Q74,S74,U74,W74)</f>
        <v>0</v>
      </c>
      <c r="Z74" s="14">
        <f t="shared" ref="Z74:Z86" si="26">SUM(D74,F74,H74,J74,L74,,N74,P74,R74,T74,V74)</f>
        <v>0</v>
      </c>
      <c r="AA74" s="13" t="s">
        <v>89</v>
      </c>
      <c r="AB74" s="176">
        <f>SUM(Y74:Y75)</f>
        <v>0</v>
      </c>
      <c r="AC74" s="177"/>
      <c r="AD74" s="16">
        <f t="shared" si="23"/>
        <v>0</v>
      </c>
      <c r="AE74" s="17"/>
      <c r="AF74" s="182" t="s">
        <v>90</v>
      </c>
      <c r="AG74" s="183"/>
      <c r="AH74" s="183"/>
      <c r="AI74" s="183"/>
      <c r="AJ74" s="183"/>
      <c r="AK74" s="220"/>
      <c r="AL74" s="221"/>
    </row>
    <row r="75" spans="2:40" s="12" customFormat="1" ht="113.25" customHeight="1" thickBot="1" x14ac:dyDescent="2.15">
      <c r="B75" s="13" t="s">
        <v>91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17">
        <v>0</v>
      </c>
      <c r="Y75" s="14">
        <f t="shared" si="25"/>
        <v>0</v>
      </c>
      <c r="Z75" s="14">
        <f t="shared" si="26"/>
        <v>0</v>
      </c>
      <c r="AA75" s="13" t="s">
        <v>91</v>
      </c>
      <c r="AB75" s="178"/>
      <c r="AC75" s="179"/>
      <c r="AD75" s="16">
        <f t="shared" si="23"/>
        <v>0</v>
      </c>
      <c r="AE75" s="17"/>
      <c r="AF75" s="204">
        <f>+AD74+AD75</f>
        <v>0</v>
      </c>
      <c r="AG75" s="205"/>
      <c r="AH75" s="205"/>
      <c r="AI75" s="205"/>
      <c r="AJ75" s="205"/>
      <c r="AK75" s="220"/>
      <c r="AL75" s="221"/>
    </row>
    <row r="76" spans="2:40" s="12" customFormat="1" ht="113.25" customHeight="1" x14ac:dyDescent="2.1">
      <c r="B76" s="13" t="s">
        <v>92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1</v>
      </c>
      <c r="W76" s="14">
        <v>0</v>
      </c>
      <c r="X76" s="113">
        <v>0</v>
      </c>
      <c r="Y76" s="14">
        <f t="shared" si="25"/>
        <v>0</v>
      </c>
      <c r="Z76" s="14">
        <f t="shared" si="26"/>
        <v>1</v>
      </c>
      <c r="AA76" s="13" t="s">
        <v>92</v>
      </c>
      <c r="AB76" s="176">
        <f>SUM(Y76:Y77)</f>
        <v>0</v>
      </c>
      <c r="AC76" s="177"/>
      <c r="AD76" s="16">
        <f t="shared" si="23"/>
        <v>0</v>
      </c>
      <c r="AE76" s="17"/>
      <c r="AF76" s="182" t="s">
        <v>93</v>
      </c>
      <c r="AG76" s="183"/>
      <c r="AH76" s="183"/>
      <c r="AI76" s="183"/>
      <c r="AJ76" s="183"/>
      <c r="AK76" s="220"/>
      <c r="AL76" s="221"/>
    </row>
    <row r="77" spans="2:40" s="12" customFormat="1" ht="113.25" hidden="1" customHeight="1" thickBot="1" x14ac:dyDescent="2.15">
      <c r="B77" s="13" t="s">
        <v>94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13">
        <v>0</v>
      </c>
      <c r="Y77" s="14">
        <f t="shared" si="25"/>
        <v>0</v>
      </c>
      <c r="Z77" s="14">
        <f t="shared" si="26"/>
        <v>0</v>
      </c>
      <c r="AA77" s="13" t="s">
        <v>94</v>
      </c>
      <c r="AB77" s="178"/>
      <c r="AC77" s="179"/>
      <c r="AD77" s="16">
        <f t="shared" si="23"/>
        <v>0</v>
      </c>
      <c r="AE77" s="17"/>
      <c r="AF77" s="204">
        <f>+AD76+AD77</f>
        <v>0</v>
      </c>
      <c r="AG77" s="205"/>
      <c r="AH77" s="205"/>
      <c r="AI77" s="205"/>
      <c r="AJ77" s="205"/>
      <c r="AK77" s="220"/>
      <c r="AL77" s="221"/>
    </row>
    <row r="78" spans="2:40" s="12" customFormat="1" ht="113.25" hidden="1" customHeight="1" x14ac:dyDescent="2.1">
      <c r="B78" s="13" t="s">
        <v>95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17">
        <v>0</v>
      </c>
      <c r="Y78" s="14">
        <f t="shared" si="25"/>
        <v>0</v>
      </c>
      <c r="Z78" s="14">
        <f t="shared" si="26"/>
        <v>0</v>
      </c>
      <c r="AA78" s="13" t="s">
        <v>95</v>
      </c>
      <c r="AB78" s="176">
        <f>SUM(Y78:Y79)</f>
        <v>0</v>
      </c>
      <c r="AC78" s="177"/>
      <c r="AD78" s="16">
        <f t="shared" si="23"/>
        <v>0</v>
      </c>
      <c r="AE78" s="17"/>
      <c r="AF78" s="182" t="s">
        <v>96</v>
      </c>
      <c r="AG78" s="183"/>
      <c r="AH78" s="183"/>
      <c r="AI78" s="183"/>
      <c r="AJ78" s="183"/>
      <c r="AK78" s="220"/>
      <c r="AL78" s="221"/>
    </row>
    <row r="79" spans="2:40" s="12" customFormat="1" ht="113.25" hidden="1" customHeight="1" thickBot="1" x14ac:dyDescent="2.15">
      <c r="B79" s="13" t="s">
        <v>97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13">
        <v>0</v>
      </c>
      <c r="Y79" s="14">
        <f t="shared" si="25"/>
        <v>0</v>
      </c>
      <c r="Z79" s="14">
        <f t="shared" si="26"/>
        <v>0</v>
      </c>
      <c r="AA79" s="13" t="s">
        <v>97</v>
      </c>
      <c r="AB79" s="178"/>
      <c r="AC79" s="179"/>
      <c r="AD79" s="16">
        <f t="shared" si="23"/>
        <v>0</v>
      </c>
      <c r="AE79" s="17"/>
      <c r="AF79" s="204">
        <f>+AD78+AD79</f>
        <v>0</v>
      </c>
      <c r="AG79" s="205"/>
      <c r="AH79" s="205"/>
      <c r="AI79" s="205"/>
      <c r="AJ79" s="205"/>
      <c r="AK79" s="77"/>
      <c r="AL79" s="78"/>
    </row>
    <row r="80" spans="2:40" s="12" customFormat="1" ht="113.25" hidden="1" customHeight="1" x14ac:dyDescent="2.1">
      <c r="B80" s="13" t="s">
        <v>98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13">
        <v>0</v>
      </c>
      <c r="Y80" s="14">
        <f t="shared" si="25"/>
        <v>0</v>
      </c>
      <c r="Z80" s="14">
        <f t="shared" si="26"/>
        <v>0</v>
      </c>
      <c r="AA80" s="13" t="s">
        <v>98</v>
      </c>
      <c r="AB80" s="176">
        <f>SUM(Y80:Y81)</f>
        <v>1</v>
      </c>
      <c r="AC80" s="177"/>
      <c r="AD80" s="16">
        <f t="shared" si="23"/>
        <v>0</v>
      </c>
      <c r="AE80" s="17"/>
      <c r="AF80" s="182" t="s">
        <v>99</v>
      </c>
      <c r="AG80" s="183"/>
      <c r="AH80" s="183"/>
      <c r="AI80" s="183"/>
      <c r="AJ80" s="183"/>
      <c r="AK80" s="202" t="s">
        <v>100</v>
      </c>
      <c r="AL80" s="203"/>
    </row>
    <row r="81" spans="1:38" s="12" customFormat="1" ht="113.25" customHeight="1" thickBot="1" x14ac:dyDescent="2.15">
      <c r="B81" s="13" t="s">
        <v>101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1</v>
      </c>
      <c r="T81" s="14">
        <v>0</v>
      </c>
      <c r="U81" s="14">
        <v>0</v>
      </c>
      <c r="V81" s="14">
        <v>0</v>
      </c>
      <c r="W81" s="14">
        <v>0</v>
      </c>
      <c r="X81" s="113">
        <v>218500</v>
      </c>
      <c r="Y81" s="14">
        <f t="shared" si="25"/>
        <v>1</v>
      </c>
      <c r="Z81" s="14">
        <f t="shared" si="26"/>
        <v>0</v>
      </c>
      <c r="AA81" s="13" t="s">
        <v>101</v>
      </c>
      <c r="AB81" s="178"/>
      <c r="AC81" s="179"/>
      <c r="AD81" s="16">
        <f t="shared" si="23"/>
        <v>218500</v>
      </c>
      <c r="AE81" s="17"/>
      <c r="AF81" s="204">
        <f>+AD80+AD81</f>
        <v>218500</v>
      </c>
      <c r="AG81" s="205"/>
      <c r="AH81" s="205"/>
      <c r="AI81" s="205"/>
      <c r="AJ81" s="205"/>
      <c r="AK81" s="202"/>
      <c r="AL81" s="203"/>
    </row>
    <row r="82" spans="1:38" s="12" customFormat="1" ht="105.75" customHeight="1" x14ac:dyDescent="2.1">
      <c r="B82" s="13" t="s">
        <v>102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13">
        <v>0</v>
      </c>
      <c r="Y82" s="14">
        <f t="shared" si="25"/>
        <v>0</v>
      </c>
      <c r="Z82" s="14">
        <f t="shared" si="26"/>
        <v>0</v>
      </c>
      <c r="AA82" s="13" t="s">
        <v>102</v>
      </c>
      <c r="AB82" s="154"/>
      <c r="AC82" s="155"/>
      <c r="AD82" s="16">
        <f t="shared" si="23"/>
        <v>0</v>
      </c>
      <c r="AE82" s="17"/>
      <c r="AF82" s="45"/>
      <c r="AG82" s="76"/>
      <c r="AH82" s="76"/>
      <c r="AI82" s="76"/>
      <c r="AJ82" s="76"/>
      <c r="AK82" s="202"/>
      <c r="AL82" s="203"/>
    </row>
    <row r="83" spans="1:38" s="12" customFormat="1" ht="105.75" customHeight="1" x14ac:dyDescent="2.1">
      <c r="B83" s="13" t="s">
        <v>103</v>
      </c>
      <c r="C83" s="14">
        <v>0</v>
      </c>
      <c r="D83" s="14">
        <v>3</v>
      </c>
      <c r="E83" s="14">
        <v>3</v>
      </c>
      <c r="F83" s="14">
        <v>1</v>
      </c>
      <c r="G83" s="14">
        <v>1</v>
      </c>
      <c r="H83" s="14">
        <v>1</v>
      </c>
      <c r="I83" s="14">
        <v>1</v>
      </c>
      <c r="J83" s="14">
        <v>2</v>
      </c>
      <c r="K83" s="14">
        <v>0</v>
      </c>
      <c r="L83" s="14">
        <v>3</v>
      </c>
      <c r="M83" s="14">
        <v>2</v>
      </c>
      <c r="N83" s="14">
        <v>3</v>
      </c>
      <c r="O83" s="14">
        <v>2</v>
      </c>
      <c r="P83" s="14">
        <v>1</v>
      </c>
      <c r="Q83" s="14">
        <v>3</v>
      </c>
      <c r="R83" s="14">
        <v>0</v>
      </c>
      <c r="S83" s="14">
        <v>0</v>
      </c>
      <c r="T83" s="14">
        <v>3</v>
      </c>
      <c r="U83" s="14">
        <v>1</v>
      </c>
      <c r="V83" s="14">
        <v>3</v>
      </c>
      <c r="W83" s="14">
        <v>1</v>
      </c>
      <c r="X83" s="113">
        <v>331600</v>
      </c>
      <c r="Y83" s="14">
        <f t="shared" si="25"/>
        <v>14</v>
      </c>
      <c r="Z83" s="14">
        <f t="shared" si="26"/>
        <v>20</v>
      </c>
      <c r="AA83" s="13" t="s">
        <v>103</v>
      </c>
      <c r="AB83" s="154"/>
      <c r="AC83" s="155"/>
      <c r="AD83" s="16">
        <f t="shared" si="23"/>
        <v>331600</v>
      </c>
      <c r="AE83" s="17"/>
      <c r="AF83" s="45"/>
      <c r="AG83" s="76"/>
      <c r="AH83" s="76"/>
      <c r="AI83" s="76"/>
      <c r="AJ83" s="76"/>
      <c r="AK83" s="202"/>
      <c r="AL83" s="203"/>
    </row>
    <row r="84" spans="1:38" s="12" customFormat="1" ht="105.75" customHeight="1" x14ac:dyDescent="2.1">
      <c r="B84" s="13" t="s">
        <v>104</v>
      </c>
      <c r="C84" s="14">
        <v>0</v>
      </c>
      <c r="D84" s="14">
        <v>4</v>
      </c>
      <c r="E84" s="14">
        <v>2</v>
      </c>
      <c r="F84" s="14">
        <v>2</v>
      </c>
      <c r="G84" s="14">
        <v>0</v>
      </c>
      <c r="H84" s="14">
        <v>3</v>
      </c>
      <c r="I84" s="14">
        <v>1</v>
      </c>
      <c r="J84" s="14">
        <v>2</v>
      </c>
      <c r="K84" s="14">
        <v>1</v>
      </c>
      <c r="L84" s="14">
        <v>1</v>
      </c>
      <c r="M84" s="14">
        <v>0</v>
      </c>
      <c r="N84" s="14">
        <v>2</v>
      </c>
      <c r="O84" s="14">
        <v>0</v>
      </c>
      <c r="P84" s="14">
        <v>3</v>
      </c>
      <c r="Q84" s="14">
        <v>0</v>
      </c>
      <c r="R84" s="14">
        <v>2</v>
      </c>
      <c r="S84" s="14">
        <v>0</v>
      </c>
      <c r="T84" s="14">
        <v>1</v>
      </c>
      <c r="U84" s="14">
        <v>0</v>
      </c>
      <c r="V84" s="14">
        <v>3</v>
      </c>
      <c r="W84" s="14">
        <v>0</v>
      </c>
      <c r="X84" s="113">
        <v>90800</v>
      </c>
      <c r="Y84" s="14">
        <f t="shared" si="25"/>
        <v>4</v>
      </c>
      <c r="Z84" s="14">
        <f t="shared" si="26"/>
        <v>23</v>
      </c>
      <c r="AA84" s="13" t="s">
        <v>104</v>
      </c>
      <c r="AB84" s="154"/>
      <c r="AC84" s="155"/>
      <c r="AD84" s="16">
        <f t="shared" si="23"/>
        <v>90800</v>
      </c>
      <c r="AE84" s="17"/>
      <c r="AF84" s="45"/>
      <c r="AG84" s="76"/>
      <c r="AH84" s="76"/>
      <c r="AI84" s="76"/>
      <c r="AJ84" s="76"/>
      <c r="AK84" s="202"/>
      <c r="AL84" s="203"/>
    </row>
    <row r="85" spans="1:38" s="12" customFormat="1" ht="105.75" customHeight="1" x14ac:dyDescent="2.1">
      <c r="B85" s="13" t="s">
        <v>105</v>
      </c>
      <c r="C85" s="14">
        <v>1</v>
      </c>
      <c r="D85" s="14">
        <v>1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13">
        <v>16000</v>
      </c>
      <c r="Y85" s="14">
        <f t="shared" si="25"/>
        <v>1</v>
      </c>
      <c r="Z85" s="14">
        <f t="shared" si="26"/>
        <v>1</v>
      </c>
      <c r="AA85" s="13" t="s">
        <v>105</v>
      </c>
      <c r="AB85" s="154"/>
      <c r="AC85" s="155"/>
      <c r="AD85" s="16">
        <f t="shared" si="23"/>
        <v>16000</v>
      </c>
      <c r="AE85" s="17"/>
      <c r="AF85" s="45"/>
      <c r="AG85" s="76"/>
      <c r="AH85" s="76"/>
      <c r="AI85" s="76"/>
      <c r="AJ85" s="76"/>
      <c r="AK85" s="202"/>
      <c r="AL85" s="203"/>
    </row>
    <row r="86" spans="1:38" s="12" customFormat="1" ht="105.75" customHeight="1" x14ac:dyDescent="2.1">
      <c r="B86" s="13" t="s">
        <v>106</v>
      </c>
      <c r="C86" s="14">
        <v>0</v>
      </c>
      <c r="D86" s="14">
        <v>0</v>
      </c>
      <c r="E86" s="14">
        <v>1</v>
      </c>
      <c r="F86" s="14">
        <v>0</v>
      </c>
      <c r="G86" s="14">
        <v>0</v>
      </c>
      <c r="H86" s="14">
        <v>0</v>
      </c>
      <c r="I86" s="14">
        <v>1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1</v>
      </c>
      <c r="S86" s="14">
        <v>0</v>
      </c>
      <c r="T86" s="14">
        <v>3</v>
      </c>
      <c r="U86" s="14">
        <v>0</v>
      </c>
      <c r="V86" s="14">
        <v>2</v>
      </c>
      <c r="W86" s="14">
        <v>0</v>
      </c>
      <c r="X86" s="113">
        <v>44200</v>
      </c>
      <c r="Y86" s="14">
        <f t="shared" si="25"/>
        <v>2</v>
      </c>
      <c r="Z86" s="14">
        <f t="shared" si="26"/>
        <v>6</v>
      </c>
      <c r="AA86" s="13" t="s">
        <v>106</v>
      </c>
      <c r="AB86" s="206">
        <f>SUM(Y86:Y86)</f>
        <v>2</v>
      </c>
      <c r="AC86" s="207"/>
      <c r="AD86" s="16">
        <f t="shared" si="23"/>
        <v>44200</v>
      </c>
      <c r="AE86" s="17"/>
      <c r="AF86" s="2"/>
      <c r="AG86" s="2"/>
      <c r="AH86" s="2"/>
      <c r="AI86" s="2"/>
      <c r="AJ86" s="2"/>
      <c r="AK86" s="202"/>
      <c r="AL86" s="203"/>
    </row>
    <row r="87" spans="1:38" ht="123.75" customHeight="1" x14ac:dyDescent="2.1">
      <c r="B87" s="79" t="s">
        <v>107</v>
      </c>
      <c r="C87" s="142" t="s">
        <v>2</v>
      </c>
      <c r="D87" s="143"/>
      <c r="E87" s="142" t="s">
        <v>3</v>
      </c>
      <c r="F87" s="143"/>
      <c r="G87" s="142" t="s">
        <v>4</v>
      </c>
      <c r="H87" s="143"/>
      <c r="I87" s="142" t="s">
        <v>5</v>
      </c>
      <c r="J87" s="143"/>
      <c r="K87" s="142" t="s">
        <v>6</v>
      </c>
      <c r="L87" s="143"/>
      <c r="M87" s="142" t="s">
        <v>8</v>
      </c>
      <c r="N87" s="143"/>
      <c r="O87" s="142" t="s">
        <v>9</v>
      </c>
      <c r="P87" s="143"/>
      <c r="Q87" s="142" t="s">
        <v>10</v>
      </c>
      <c r="R87" s="143"/>
      <c r="S87" s="142" t="s">
        <v>11</v>
      </c>
      <c r="T87" s="143"/>
      <c r="U87" s="142" t="s">
        <v>12</v>
      </c>
      <c r="V87" s="143"/>
      <c r="W87" s="9" t="s">
        <v>13</v>
      </c>
      <c r="X87" s="119"/>
      <c r="Y87" s="49" t="s">
        <v>14</v>
      </c>
      <c r="Z87" s="49" t="s">
        <v>15</v>
      </c>
      <c r="AA87" s="79" t="s">
        <v>107</v>
      </c>
      <c r="AB87" s="148"/>
      <c r="AC87" s="149"/>
      <c r="AD87" s="6" t="s">
        <v>17</v>
      </c>
      <c r="AE87" s="7"/>
      <c r="AK87" s="194">
        <f>SUM(AD88:AD137)</f>
        <v>793350</v>
      </c>
      <c r="AL87" s="195"/>
    </row>
    <row r="88" spans="1:38" ht="123.75" customHeight="1" x14ac:dyDescent="2.1">
      <c r="B88" s="15" t="s">
        <v>108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13">
        <v>0</v>
      </c>
      <c r="Y88" s="14">
        <f>SUM(C88,E88,G88,I88,K88,,M88,O88,Q88,S88,U88,W88)</f>
        <v>0</v>
      </c>
      <c r="Z88" s="14">
        <f>SUM(D88,F88,H88,J88,L88,,N88,P88,R88,T88,V88)</f>
        <v>0</v>
      </c>
      <c r="AA88" s="15" t="s">
        <v>108</v>
      </c>
      <c r="AB88" s="152"/>
      <c r="AC88" s="153"/>
      <c r="AD88" s="16">
        <f>X88</f>
        <v>0</v>
      </c>
      <c r="AE88" s="7"/>
      <c r="AK88" s="196"/>
      <c r="AL88" s="195"/>
    </row>
    <row r="89" spans="1:38" s="64" customFormat="1" ht="38.25" customHeight="1" x14ac:dyDescent="2.1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120">
        <v>0</v>
      </c>
      <c r="Y89" s="80"/>
      <c r="Z89" s="80"/>
      <c r="AA89" s="65"/>
      <c r="AB89" s="81"/>
      <c r="AC89" s="82"/>
      <c r="AD89" s="16">
        <f t="shared" ref="AD89:AD102" si="27">X89</f>
        <v>0</v>
      </c>
      <c r="AE89" s="17"/>
      <c r="AF89" s="2"/>
      <c r="AG89" s="2"/>
      <c r="AH89" s="2"/>
      <c r="AI89" s="2"/>
      <c r="AJ89" s="2"/>
      <c r="AK89" s="196"/>
      <c r="AL89" s="195"/>
    </row>
    <row r="90" spans="1:38" s="12" customFormat="1" ht="113.25" customHeight="1" x14ac:dyDescent="2.1">
      <c r="B90" s="13" t="s">
        <v>109</v>
      </c>
      <c r="C90" s="14">
        <v>0</v>
      </c>
      <c r="D90" s="14">
        <v>0</v>
      </c>
      <c r="E90" s="14">
        <v>3</v>
      </c>
      <c r="F90" s="14">
        <v>6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13">
        <v>48300</v>
      </c>
      <c r="Y90" s="14">
        <f t="shared" ref="Y90:Y102" si="28">SUM(C90,E90,G90,I90,K90,,M90,O90,Q90,S90,U90,W90)</f>
        <v>3</v>
      </c>
      <c r="Z90" s="14">
        <f t="shared" ref="Z90:Z102" si="29">SUM(D90,F90,H90,J90,L90,,N90,P90,R90,T90,V90)</f>
        <v>6</v>
      </c>
      <c r="AA90" s="13" t="s">
        <v>109</v>
      </c>
      <c r="AB90" s="154"/>
      <c r="AC90" s="155"/>
      <c r="AD90" s="16">
        <f t="shared" si="27"/>
        <v>48300</v>
      </c>
      <c r="AE90" s="17"/>
      <c r="AF90" s="2"/>
      <c r="AG90" s="2"/>
      <c r="AH90" s="2"/>
      <c r="AI90" s="2"/>
      <c r="AJ90" s="2"/>
      <c r="AK90" s="196"/>
      <c r="AL90" s="195"/>
    </row>
    <row r="91" spans="1:38" s="12" customFormat="1" ht="113.25" customHeight="1" x14ac:dyDescent="2.1">
      <c r="B91" s="13" t="s">
        <v>110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13">
        <v>0</v>
      </c>
      <c r="Y91" s="14">
        <f t="shared" si="28"/>
        <v>0</v>
      </c>
      <c r="Z91" s="14">
        <f t="shared" si="29"/>
        <v>0</v>
      </c>
      <c r="AA91" s="13" t="s">
        <v>110</v>
      </c>
      <c r="AB91" s="154"/>
      <c r="AC91" s="155"/>
      <c r="AD91" s="16">
        <f t="shared" si="27"/>
        <v>0</v>
      </c>
      <c r="AE91" s="17"/>
      <c r="AF91" s="2"/>
      <c r="AG91" s="2"/>
      <c r="AH91" s="2"/>
      <c r="AI91" s="2"/>
      <c r="AJ91" s="2"/>
      <c r="AK91" s="196"/>
      <c r="AL91" s="195"/>
    </row>
    <row r="92" spans="1:38" s="12" customFormat="1" ht="113.25" customHeight="1" thickBot="1" x14ac:dyDescent="2.15">
      <c r="B92" s="13" t="s">
        <v>111</v>
      </c>
      <c r="C92" s="14">
        <v>0</v>
      </c>
      <c r="D92" s="14">
        <v>0</v>
      </c>
      <c r="E92" s="14">
        <v>0</v>
      </c>
      <c r="F92" s="14">
        <v>3</v>
      </c>
      <c r="G92" s="14">
        <v>0</v>
      </c>
      <c r="H92" s="14">
        <v>3</v>
      </c>
      <c r="I92" s="14">
        <v>1</v>
      </c>
      <c r="J92" s="14">
        <v>2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2</v>
      </c>
      <c r="T92" s="14">
        <v>1</v>
      </c>
      <c r="U92" s="14">
        <v>1</v>
      </c>
      <c r="V92" s="14">
        <v>3</v>
      </c>
      <c r="W92" s="14">
        <v>0</v>
      </c>
      <c r="X92" s="113">
        <v>77200</v>
      </c>
      <c r="Y92" s="14">
        <f t="shared" si="28"/>
        <v>4</v>
      </c>
      <c r="Z92" s="14">
        <f t="shared" si="29"/>
        <v>12</v>
      </c>
      <c r="AA92" s="13" t="s">
        <v>111</v>
      </c>
      <c r="AB92" s="154"/>
      <c r="AC92" s="155"/>
      <c r="AD92" s="16">
        <f t="shared" si="27"/>
        <v>77200</v>
      </c>
      <c r="AE92" s="17"/>
      <c r="AF92" s="2"/>
      <c r="AG92" s="2"/>
      <c r="AH92" s="2"/>
      <c r="AI92" s="2"/>
      <c r="AJ92" s="2"/>
      <c r="AK92" s="196"/>
      <c r="AL92" s="195"/>
    </row>
    <row r="93" spans="1:38" s="12" customFormat="1" ht="146.25" x14ac:dyDescent="2.1">
      <c r="B93" s="13" t="s">
        <v>112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13">
        <v>0</v>
      </c>
      <c r="Y93" s="14">
        <f t="shared" si="28"/>
        <v>0</v>
      </c>
      <c r="Z93" s="14">
        <f t="shared" si="29"/>
        <v>0</v>
      </c>
      <c r="AA93" s="13" t="s">
        <v>112</v>
      </c>
      <c r="AB93" s="159">
        <f>SUM(Y93:Y102)</f>
        <v>10</v>
      </c>
      <c r="AC93" s="160"/>
      <c r="AD93" s="16">
        <f t="shared" si="27"/>
        <v>0</v>
      </c>
      <c r="AE93" s="17"/>
      <c r="AF93" s="165" t="s">
        <v>113</v>
      </c>
      <c r="AG93" s="166"/>
      <c r="AH93" s="166"/>
      <c r="AI93" s="166"/>
      <c r="AJ93" s="167"/>
      <c r="AK93" s="196"/>
      <c r="AL93" s="195"/>
    </row>
    <row r="94" spans="1:38" s="47" customFormat="1" ht="116.25" customHeight="1" x14ac:dyDescent="2.1">
      <c r="A94" s="12"/>
      <c r="B94" s="13" t="s">
        <v>114</v>
      </c>
      <c r="C94" s="14">
        <v>0</v>
      </c>
      <c r="D94" s="14">
        <v>1</v>
      </c>
      <c r="E94" s="14">
        <v>0</v>
      </c>
      <c r="F94" s="14">
        <v>1</v>
      </c>
      <c r="G94" s="14">
        <v>0</v>
      </c>
      <c r="H94" s="14">
        <v>1</v>
      </c>
      <c r="I94" s="14">
        <v>0</v>
      </c>
      <c r="J94" s="14">
        <v>1</v>
      </c>
      <c r="K94" s="14">
        <v>0</v>
      </c>
      <c r="L94" s="14">
        <v>0</v>
      </c>
      <c r="M94" s="14">
        <v>0</v>
      </c>
      <c r="N94" s="14">
        <v>1</v>
      </c>
      <c r="O94" s="14">
        <v>0</v>
      </c>
      <c r="P94" s="14">
        <v>1</v>
      </c>
      <c r="Q94" s="14">
        <v>0</v>
      </c>
      <c r="R94" s="14">
        <v>0</v>
      </c>
      <c r="S94" s="14">
        <v>0</v>
      </c>
      <c r="T94" s="14">
        <v>1</v>
      </c>
      <c r="U94" s="14">
        <v>0</v>
      </c>
      <c r="V94" s="14">
        <v>1</v>
      </c>
      <c r="W94" s="14">
        <v>0</v>
      </c>
      <c r="X94" s="113">
        <v>0</v>
      </c>
      <c r="Y94" s="14">
        <f t="shared" si="28"/>
        <v>0</v>
      </c>
      <c r="Z94" s="14">
        <f t="shared" si="29"/>
        <v>8</v>
      </c>
      <c r="AA94" s="13" t="s">
        <v>114</v>
      </c>
      <c r="AB94" s="161"/>
      <c r="AC94" s="162"/>
      <c r="AD94" s="16">
        <f t="shared" si="27"/>
        <v>0</v>
      </c>
      <c r="AE94" s="17"/>
      <c r="AF94" s="168"/>
      <c r="AG94" s="169"/>
      <c r="AH94" s="169"/>
      <c r="AI94" s="169"/>
      <c r="AJ94" s="170"/>
      <c r="AK94" s="196"/>
      <c r="AL94" s="195"/>
    </row>
    <row r="95" spans="1:38" s="47" customFormat="1" ht="113.25" customHeight="1" x14ac:dyDescent="2.1">
      <c r="A95" s="12"/>
      <c r="B95" s="13" t="s">
        <v>115</v>
      </c>
      <c r="C95" s="14">
        <v>0</v>
      </c>
      <c r="D95" s="14">
        <v>0</v>
      </c>
      <c r="E95" s="14">
        <v>0</v>
      </c>
      <c r="F95" s="14">
        <v>1</v>
      </c>
      <c r="G95" s="14">
        <v>0</v>
      </c>
      <c r="H95" s="14">
        <v>1</v>
      </c>
      <c r="I95" s="14">
        <v>1</v>
      </c>
      <c r="J95" s="14">
        <v>0</v>
      </c>
      <c r="K95" s="14">
        <v>1</v>
      </c>
      <c r="L95" s="14">
        <v>0</v>
      </c>
      <c r="M95" s="14">
        <v>0</v>
      </c>
      <c r="N95" s="14">
        <v>2</v>
      </c>
      <c r="O95" s="14">
        <v>0</v>
      </c>
      <c r="P95" s="14">
        <v>0</v>
      </c>
      <c r="Q95" s="14">
        <v>0</v>
      </c>
      <c r="R95" s="14">
        <v>1</v>
      </c>
      <c r="S95" s="14">
        <v>0</v>
      </c>
      <c r="T95" s="14">
        <v>1</v>
      </c>
      <c r="U95" s="14">
        <v>0</v>
      </c>
      <c r="V95" s="14">
        <v>0</v>
      </c>
      <c r="W95" s="14">
        <v>0</v>
      </c>
      <c r="X95" s="113">
        <v>62000</v>
      </c>
      <c r="Y95" s="14">
        <f t="shared" si="28"/>
        <v>2</v>
      </c>
      <c r="Z95" s="14">
        <f t="shared" si="29"/>
        <v>6</v>
      </c>
      <c r="AA95" s="13" t="s">
        <v>115</v>
      </c>
      <c r="AB95" s="161"/>
      <c r="AC95" s="162"/>
      <c r="AD95" s="16">
        <f t="shared" si="27"/>
        <v>62000</v>
      </c>
      <c r="AE95" s="17"/>
      <c r="AF95" s="168"/>
      <c r="AG95" s="169"/>
      <c r="AH95" s="169"/>
      <c r="AI95" s="169"/>
      <c r="AJ95" s="170"/>
      <c r="AK95" s="196"/>
      <c r="AL95" s="195"/>
    </row>
    <row r="96" spans="1:38" s="47" customFormat="1" ht="113.25" customHeight="1" x14ac:dyDescent="2.1">
      <c r="A96" s="12"/>
      <c r="B96" s="13" t="s">
        <v>116</v>
      </c>
      <c r="C96" s="14">
        <v>0</v>
      </c>
      <c r="D96" s="14">
        <v>1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1</v>
      </c>
      <c r="U96" s="14">
        <v>0</v>
      </c>
      <c r="V96" s="14">
        <v>0</v>
      </c>
      <c r="W96" s="14">
        <v>0</v>
      </c>
      <c r="X96" s="113">
        <v>0</v>
      </c>
      <c r="Y96" s="14">
        <f t="shared" si="28"/>
        <v>0</v>
      </c>
      <c r="Z96" s="14">
        <f t="shared" si="29"/>
        <v>2</v>
      </c>
      <c r="AA96" s="13" t="s">
        <v>116</v>
      </c>
      <c r="AB96" s="161"/>
      <c r="AC96" s="162"/>
      <c r="AD96" s="16">
        <f t="shared" si="27"/>
        <v>0</v>
      </c>
      <c r="AE96" s="17"/>
      <c r="AF96" s="168"/>
      <c r="AG96" s="169"/>
      <c r="AH96" s="169"/>
      <c r="AI96" s="169"/>
      <c r="AJ96" s="170"/>
      <c r="AK96" s="196"/>
      <c r="AL96" s="195"/>
    </row>
    <row r="97" spans="1:38" s="47" customFormat="1" ht="113.25" customHeight="1" x14ac:dyDescent="2.1">
      <c r="A97" s="12"/>
      <c r="B97" s="13" t="s">
        <v>117</v>
      </c>
      <c r="C97" s="14">
        <v>0</v>
      </c>
      <c r="D97" s="14"/>
      <c r="E97" s="14">
        <v>0</v>
      </c>
      <c r="F97" s="14"/>
      <c r="G97" s="14">
        <v>0</v>
      </c>
      <c r="H97" s="14"/>
      <c r="I97" s="14">
        <v>0</v>
      </c>
      <c r="J97" s="14"/>
      <c r="K97" s="14">
        <v>0</v>
      </c>
      <c r="L97" s="14"/>
      <c r="M97" s="14">
        <v>0</v>
      </c>
      <c r="N97" s="14"/>
      <c r="O97" s="14">
        <v>0</v>
      </c>
      <c r="P97" s="14"/>
      <c r="Q97" s="14">
        <v>0</v>
      </c>
      <c r="R97" s="14"/>
      <c r="S97" s="14">
        <v>0</v>
      </c>
      <c r="T97" s="14"/>
      <c r="U97" s="14">
        <v>0</v>
      </c>
      <c r="V97" s="14"/>
      <c r="W97" s="14">
        <v>1</v>
      </c>
      <c r="X97" s="113">
        <v>34100</v>
      </c>
      <c r="Y97" s="14">
        <f t="shared" si="28"/>
        <v>1</v>
      </c>
      <c r="Z97" s="14">
        <f t="shared" si="29"/>
        <v>0</v>
      </c>
      <c r="AA97" s="13" t="s">
        <v>117</v>
      </c>
      <c r="AB97" s="161"/>
      <c r="AC97" s="162"/>
      <c r="AD97" s="16">
        <f t="shared" si="27"/>
        <v>34100</v>
      </c>
      <c r="AE97" s="17"/>
      <c r="AF97" s="168"/>
      <c r="AG97" s="169"/>
      <c r="AH97" s="169"/>
      <c r="AI97" s="169"/>
      <c r="AJ97" s="170"/>
      <c r="AK97" s="196"/>
      <c r="AL97" s="195"/>
    </row>
    <row r="98" spans="1:38" s="47" customFormat="1" ht="113.25" customHeight="1" x14ac:dyDescent="2.1">
      <c r="A98" s="12"/>
      <c r="B98" s="13" t="s">
        <v>118</v>
      </c>
      <c r="C98" s="14">
        <v>0</v>
      </c>
      <c r="D98" s="14">
        <v>2</v>
      </c>
      <c r="E98" s="14">
        <v>0</v>
      </c>
      <c r="F98" s="14">
        <v>1</v>
      </c>
      <c r="G98" s="14">
        <v>0</v>
      </c>
      <c r="H98" s="14">
        <v>1</v>
      </c>
      <c r="I98" s="14">
        <v>0</v>
      </c>
      <c r="J98" s="14">
        <v>1</v>
      </c>
      <c r="K98" s="14">
        <v>0</v>
      </c>
      <c r="L98" s="14">
        <v>2</v>
      </c>
      <c r="M98" s="14">
        <v>0</v>
      </c>
      <c r="N98" s="14">
        <v>1</v>
      </c>
      <c r="O98" s="14">
        <v>0</v>
      </c>
      <c r="P98" s="14">
        <v>2</v>
      </c>
      <c r="Q98" s="14">
        <v>0</v>
      </c>
      <c r="R98" s="14">
        <v>1</v>
      </c>
      <c r="S98" s="14">
        <v>0</v>
      </c>
      <c r="T98" s="14">
        <v>2</v>
      </c>
      <c r="U98" s="14">
        <v>1</v>
      </c>
      <c r="V98" s="14">
        <v>0</v>
      </c>
      <c r="W98" s="14">
        <v>0</v>
      </c>
      <c r="X98" s="113">
        <v>31000</v>
      </c>
      <c r="Y98" s="14">
        <f t="shared" si="28"/>
        <v>1</v>
      </c>
      <c r="Z98" s="14">
        <f t="shared" si="29"/>
        <v>13</v>
      </c>
      <c r="AA98" s="13" t="s">
        <v>118</v>
      </c>
      <c r="AB98" s="161"/>
      <c r="AC98" s="162"/>
      <c r="AD98" s="16">
        <f t="shared" si="27"/>
        <v>31000</v>
      </c>
      <c r="AE98" s="17"/>
      <c r="AF98" s="197">
        <f>SUM(AD93:AD102)</f>
        <v>295250</v>
      </c>
      <c r="AG98" s="198"/>
      <c r="AH98" s="198"/>
      <c r="AI98" s="198"/>
      <c r="AJ98" s="199"/>
      <c r="AK98" s="196"/>
      <c r="AL98" s="195"/>
    </row>
    <row r="99" spans="1:38" s="47" customFormat="1" ht="113.25" customHeight="1" x14ac:dyDescent="2.1">
      <c r="A99" s="12"/>
      <c r="B99" s="13" t="s">
        <v>119</v>
      </c>
      <c r="C99" s="14">
        <v>2</v>
      </c>
      <c r="D99" s="14">
        <v>1</v>
      </c>
      <c r="E99" s="14">
        <v>1</v>
      </c>
      <c r="F99" s="14">
        <v>4</v>
      </c>
      <c r="G99" s="14">
        <v>0</v>
      </c>
      <c r="H99" s="14">
        <v>5</v>
      </c>
      <c r="I99" s="14">
        <v>2</v>
      </c>
      <c r="J99" s="14">
        <v>1</v>
      </c>
      <c r="K99" s="14">
        <v>0</v>
      </c>
      <c r="L99" s="14">
        <v>3</v>
      </c>
      <c r="M99" s="14">
        <v>0</v>
      </c>
      <c r="N99" s="14">
        <v>3</v>
      </c>
      <c r="O99" s="14">
        <v>1</v>
      </c>
      <c r="P99" s="14">
        <v>2</v>
      </c>
      <c r="Q99" s="14">
        <v>0</v>
      </c>
      <c r="R99" s="14">
        <v>5</v>
      </c>
      <c r="S99" s="14">
        <v>0</v>
      </c>
      <c r="T99" s="14">
        <v>3</v>
      </c>
      <c r="U99" s="14">
        <v>0</v>
      </c>
      <c r="V99" s="14">
        <v>3</v>
      </c>
      <c r="W99" s="14">
        <v>0</v>
      </c>
      <c r="X99" s="113">
        <v>168150</v>
      </c>
      <c r="Y99" s="14">
        <f t="shared" si="28"/>
        <v>6</v>
      </c>
      <c r="Z99" s="14">
        <f t="shared" si="29"/>
        <v>30</v>
      </c>
      <c r="AA99" s="13" t="s">
        <v>119</v>
      </c>
      <c r="AB99" s="161"/>
      <c r="AC99" s="162"/>
      <c r="AD99" s="16">
        <f t="shared" si="27"/>
        <v>168150</v>
      </c>
      <c r="AE99" s="17"/>
      <c r="AF99" s="39"/>
      <c r="AG99" s="24"/>
      <c r="AH99" s="24"/>
      <c r="AI99" s="24"/>
      <c r="AJ99" s="25"/>
      <c r="AK99" s="196"/>
      <c r="AL99" s="195"/>
    </row>
    <row r="100" spans="1:38" s="47" customFormat="1" ht="113.25" customHeight="1" x14ac:dyDescent="2.1">
      <c r="A100" s="12"/>
      <c r="B100" s="13" t="s">
        <v>120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13">
        <v>0</v>
      </c>
      <c r="Y100" s="14">
        <f t="shared" si="28"/>
        <v>0</v>
      </c>
      <c r="Z100" s="14">
        <f t="shared" si="29"/>
        <v>0</v>
      </c>
      <c r="AA100" s="13" t="s">
        <v>120</v>
      </c>
      <c r="AB100" s="161"/>
      <c r="AC100" s="162"/>
      <c r="AD100" s="16">
        <f t="shared" si="27"/>
        <v>0</v>
      </c>
      <c r="AE100" s="17"/>
      <c r="AF100" s="171"/>
      <c r="AG100" s="169"/>
      <c r="AH100" s="169"/>
      <c r="AI100" s="169"/>
      <c r="AJ100" s="170"/>
      <c r="AK100" s="196"/>
      <c r="AL100" s="195"/>
    </row>
    <row r="101" spans="1:38" s="47" customFormat="1" ht="113.25" customHeight="1" x14ac:dyDescent="2.1">
      <c r="A101" s="12"/>
      <c r="B101" s="13" t="s">
        <v>121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13">
        <v>0</v>
      </c>
      <c r="Y101" s="14">
        <f t="shared" si="28"/>
        <v>0</v>
      </c>
      <c r="Z101" s="14">
        <f t="shared" si="29"/>
        <v>0</v>
      </c>
      <c r="AA101" s="13" t="s">
        <v>121</v>
      </c>
      <c r="AB101" s="161"/>
      <c r="AC101" s="162"/>
      <c r="AD101" s="16">
        <f t="shared" si="27"/>
        <v>0</v>
      </c>
      <c r="AE101" s="17"/>
      <c r="AF101" s="26"/>
      <c r="AG101" s="27"/>
      <c r="AH101" s="27"/>
      <c r="AI101" s="27"/>
      <c r="AJ101" s="28"/>
      <c r="AK101" s="196"/>
      <c r="AL101" s="195"/>
    </row>
    <row r="102" spans="1:38" s="47" customFormat="1" ht="113.25" customHeight="1" thickBot="1" x14ac:dyDescent="2.15">
      <c r="A102" s="12"/>
      <c r="B102" s="13" t="s">
        <v>122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13">
        <v>0</v>
      </c>
      <c r="Y102" s="14">
        <f t="shared" si="28"/>
        <v>0</v>
      </c>
      <c r="Z102" s="14">
        <f t="shared" si="29"/>
        <v>0</v>
      </c>
      <c r="AA102" s="13" t="s">
        <v>122</v>
      </c>
      <c r="AB102" s="163"/>
      <c r="AC102" s="164"/>
      <c r="AD102" s="16">
        <f t="shared" si="27"/>
        <v>0</v>
      </c>
      <c r="AE102" s="17"/>
      <c r="AF102" s="83"/>
      <c r="AG102" s="84"/>
      <c r="AH102" s="84"/>
      <c r="AI102" s="84"/>
      <c r="AJ102" s="85"/>
      <c r="AK102" s="196"/>
      <c r="AL102" s="195"/>
    </row>
    <row r="103" spans="1:38" s="47" customFormat="1" ht="111" customHeight="1" x14ac:dyDescent="2.1">
      <c r="A103" s="12"/>
      <c r="B103" s="13"/>
      <c r="C103" s="30">
        <f>SUM(C93:C102)</f>
        <v>2</v>
      </c>
      <c r="D103" s="30">
        <f t="shared" ref="D103:W103" si="30">SUM(D93:D102)</f>
        <v>5</v>
      </c>
      <c r="E103" s="30">
        <f t="shared" si="30"/>
        <v>1</v>
      </c>
      <c r="F103" s="30">
        <f t="shared" si="30"/>
        <v>7</v>
      </c>
      <c r="G103" s="30">
        <f t="shared" si="30"/>
        <v>0</v>
      </c>
      <c r="H103" s="30">
        <f t="shared" si="30"/>
        <v>8</v>
      </c>
      <c r="I103" s="30">
        <f t="shared" si="30"/>
        <v>3</v>
      </c>
      <c r="J103" s="30">
        <f t="shared" si="30"/>
        <v>3</v>
      </c>
      <c r="K103" s="30">
        <f t="shared" si="30"/>
        <v>1</v>
      </c>
      <c r="L103" s="30">
        <f t="shared" si="30"/>
        <v>5</v>
      </c>
      <c r="M103" s="30">
        <f t="shared" si="30"/>
        <v>0</v>
      </c>
      <c r="N103" s="30">
        <f t="shared" si="30"/>
        <v>7</v>
      </c>
      <c r="O103" s="30">
        <f t="shared" si="30"/>
        <v>1</v>
      </c>
      <c r="P103" s="30">
        <f t="shared" si="30"/>
        <v>5</v>
      </c>
      <c r="Q103" s="30">
        <f t="shared" si="30"/>
        <v>0</v>
      </c>
      <c r="R103" s="30">
        <f t="shared" si="30"/>
        <v>7</v>
      </c>
      <c r="S103" s="30">
        <f t="shared" si="30"/>
        <v>0</v>
      </c>
      <c r="T103" s="30">
        <f t="shared" si="30"/>
        <v>8</v>
      </c>
      <c r="U103" s="30">
        <f t="shared" si="30"/>
        <v>1</v>
      </c>
      <c r="V103" s="30">
        <f t="shared" si="30"/>
        <v>4</v>
      </c>
      <c r="W103" s="30">
        <f t="shared" si="30"/>
        <v>1</v>
      </c>
      <c r="X103" s="114"/>
      <c r="Y103" s="14"/>
      <c r="Z103" s="14"/>
      <c r="AA103" s="13"/>
      <c r="AB103" s="200"/>
      <c r="AC103" s="201"/>
      <c r="AD103" s="33"/>
      <c r="AE103" s="17"/>
      <c r="AF103" s="188"/>
      <c r="AG103" s="189"/>
      <c r="AH103" s="189"/>
      <c r="AI103" s="189"/>
      <c r="AJ103" s="190"/>
      <c r="AK103" s="196"/>
      <c r="AL103" s="195"/>
    </row>
    <row r="104" spans="1:38" ht="126" customHeight="1" x14ac:dyDescent="0.25">
      <c r="B104" s="174" t="s">
        <v>215</v>
      </c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"/>
      <c r="AF104" s="191"/>
      <c r="AG104" s="192"/>
      <c r="AH104" s="192"/>
      <c r="AI104" s="192"/>
      <c r="AJ104" s="193"/>
      <c r="AK104" s="196"/>
      <c r="AL104" s="195"/>
    </row>
    <row r="105" spans="1:38" ht="123.75" customHeight="1" x14ac:dyDescent="2.1">
      <c r="B105" s="172" t="s">
        <v>123</v>
      </c>
      <c r="C105" s="142" t="s">
        <v>2</v>
      </c>
      <c r="D105" s="143"/>
      <c r="E105" s="142" t="s">
        <v>3</v>
      </c>
      <c r="F105" s="143"/>
      <c r="G105" s="142" t="s">
        <v>4</v>
      </c>
      <c r="H105" s="143"/>
      <c r="I105" s="142" t="s">
        <v>5</v>
      </c>
      <c r="J105" s="143"/>
      <c r="K105" s="142" t="s">
        <v>6</v>
      </c>
      <c r="L105" s="143"/>
      <c r="M105" s="142" t="s">
        <v>8</v>
      </c>
      <c r="N105" s="143"/>
      <c r="O105" s="142" t="s">
        <v>9</v>
      </c>
      <c r="P105" s="143"/>
      <c r="Q105" s="142" t="s">
        <v>10</v>
      </c>
      <c r="R105" s="143"/>
      <c r="S105" s="142" t="s">
        <v>11</v>
      </c>
      <c r="T105" s="143"/>
      <c r="U105" s="142" t="s">
        <v>12</v>
      </c>
      <c r="V105" s="143"/>
      <c r="W105" s="172" t="s">
        <v>13</v>
      </c>
      <c r="X105" s="111"/>
      <c r="Y105" s="172" t="s">
        <v>14</v>
      </c>
      <c r="Z105" s="172" t="s">
        <v>15</v>
      </c>
      <c r="AA105" s="172" t="s">
        <v>123</v>
      </c>
      <c r="AB105" s="148"/>
      <c r="AC105" s="149"/>
      <c r="AD105" s="6" t="s">
        <v>17</v>
      </c>
      <c r="AE105" s="7"/>
      <c r="AF105" s="191"/>
      <c r="AG105" s="192"/>
      <c r="AH105" s="192"/>
      <c r="AI105" s="192"/>
      <c r="AJ105" s="193"/>
      <c r="AK105" s="196"/>
      <c r="AL105" s="195"/>
    </row>
    <row r="106" spans="1:38" s="4" customFormat="1" ht="138" customHeight="1" x14ac:dyDescent="2.1">
      <c r="B106" s="173"/>
      <c r="C106" s="9" t="s">
        <v>18</v>
      </c>
      <c r="D106" s="9" t="s">
        <v>19</v>
      </c>
      <c r="E106" s="9" t="s">
        <v>18</v>
      </c>
      <c r="F106" s="9" t="s">
        <v>19</v>
      </c>
      <c r="G106" s="9" t="s">
        <v>18</v>
      </c>
      <c r="H106" s="9" t="s">
        <v>19</v>
      </c>
      <c r="I106" s="9" t="s">
        <v>18</v>
      </c>
      <c r="J106" s="9" t="s">
        <v>19</v>
      </c>
      <c r="K106" s="9" t="s">
        <v>18</v>
      </c>
      <c r="L106" s="9" t="s">
        <v>19</v>
      </c>
      <c r="M106" s="9" t="s">
        <v>18</v>
      </c>
      <c r="N106" s="9" t="s">
        <v>19</v>
      </c>
      <c r="O106" s="9" t="s">
        <v>18</v>
      </c>
      <c r="P106" s="9" t="s">
        <v>19</v>
      </c>
      <c r="Q106" s="9" t="s">
        <v>18</v>
      </c>
      <c r="R106" s="9" t="s">
        <v>19</v>
      </c>
      <c r="S106" s="9" t="s">
        <v>18</v>
      </c>
      <c r="T106" s="9" t="s">
        <v>19</v>
      </c>
      <c r="U106" s="9" t="s">
        <v>18</v>
      </c>
      <c r="V106" s="9" t="s">
        <v>19</v>
      </c>
      <c r="W106" s="173"/>
      <c r="X106" s="112"/>
      <c r="Y106" s="173"/>
      <c r="Z106" s="173"/>
      <c r="AA106" s="173"/>
      <c r="AB106" s="10"/>
      <c r="AC106" s="11"/>
      <c r="AD106" s="6"/>
      <c r="AE106" s="7"/>
      <c r="AF106" s="191"/>
      <c r="AG106" s="192"/>
      <c r="AH106" s="192"/>
      <c r="AI106" s="192"/>
      <c r="AJ106" s="193"/>
      <c r="AK106" s="196"/>
      <c r="AL106" s="195"/>
    </row>
    <row r="107" spans="1:38" s="47" customFormat="1" ht="111" hidden="1" customHeight="1" x14ac:dyDescent="2.1">
      <c r="A107" s="12"/>
      <c r="B107" s="13" t="s">
        <v>124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13">
        <v>0</v>
      </c>
      <c r="Y107" s="14">
        <f>SUM(C107,E107,G107,I107,K107,,M107,O107,Q107,S107,U107,W107)</f>
        <v>0</v>
      </c>
      <c r="Z107" s="14">
        <f>SUM(D107,F107,H107,J107,L107,,N107,P107,R107,T107,V107)</f>
        <v>0</v>
      </c>
      <c r="AA107" s="13" t="s">
        <v>124</v>
      </c>
      <c r="AB107" s="159">
        <f>SUM(Y107:Y110)</f>
        <v>0</v>
      </c>
      <c r="AC107" s="160"/>
      <c r="AD107" s="16">
        <f>X107</f>
        <v>0</v>
      </c>
      <c r="AE107" s="17"/>
      <c r="AF107" s="191"/>
      <c r="AG107" s="192"/>
      <c r="AH107" s="192"/>
      <c r="AI107" s="192"/>
      <c r="AJ107" s="193"/>
      <c r="AK107" s="196"/>
      <c r="AL107" s="195"/>
    </row>
    <row r="108" spans="1:38" s="47" customFormat="1" ht="111" hidden="1" customHeight="1" x14ac:dyDescent="2.1">
      <c r="A108" s="12"/>
      <c r="B108" s="13" t="s">
        <v>125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13">
        <v>0</v>
      </c>
      <c r="Y108" s="14">
        <f>SUM(C108,E108,G108,I108,K108,,M108,O108,Q108,S108,U108,W108)</f>
        <v>0</v>
      </c>
      <c r="Z108" s="14">
        <f>SUM(D108,F108,H108,J108,L108,,N108,P108,R108,T108,V108)</f>
        <v>0</v>
      </c>
      <c r="AA108" s="13" t="s">
        <v>125</v>
      </c>
      <c r="AB108" s="161"/>
      <c r="AC108" s="162"/>
      <c r="AD108" s="16">
        <f t="shared" ref="AD108:AD136" si="31">X108</f>
        <v>0</v>
      </c>
      <c r="AE108" s="17"/>
      <c r="AF108" s="39"/>
      <c r="AG108" s="24"/>
      <c r="AH108" s="24"/>
      <c r="AI108" s="24"/>
      <c r="AJ108" s="25"/>
      <c r="AK108" s="196"/>
      <c r="AL108" s="195"/>
    </row>
    <row r="109" spans="1:38" s="47" customFormat="1" ht="111" hidden="1" customHeight="1" x14ac:dyDescent="2.1">
      <c r="A109" s="12"/>
      <c r="B109" s="13" t="s">
        <v>126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13">
        <v>0</v>
      </c>
      <c r="Y109" s="14">
        <f>SUM(C109,E109,G109,I109,K109,,M109,O109,Q109,S109,U109,W109)</f>
        <v>0</v>
      </c>
      <c r="Z109" s="14">
        <f>SUM(D109,F109,H109,J109,L109,,N109,P109,R109,T109,V109)</f>
        <v>0</v>
      </c>
      <c r="AA109" s="13" t="s">
        <v>126</v>
      </c>
      <c r="AB109" s="161"/>
      <c r="AC109" s="162"/>
      <c r="AD109" s="16">
        <f t="shared" si="31"/>
        <v>0</v>
      </c>
      <c r="AE109" s="17"/>
      <c r="AF109" s="39"/>
      <c r="AG109" s="24"/>
      <c r="AH109" s="24"/>
      <c r="AI109" s="24"/>
      <c r="AJ109" s="25"/>
      <c r="AK109" s="196"/>
      <c r="AL109" s="195"/>
    </row>
    <row r="110" spans="1:38" s="47" customFormat="1" ht="111" hidden="1" customHeight="1" x14ac:dyDescent="2.1">
      <c r="A110" s="12"/>
      <c r="B110" s="13" t="s">
        <v>127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13">
        <v>0</v>
      </c>
      <c r="Y110" s="14">
        <f>SUM(C110,E110,G110,I110,K110,,M110,O110,Q110,S110,U110,W110)</f>
        <v>0</v>
      </c>
      <c r="Z110" s="14">
        <f>SUM(D110,F110,H110,J110,L110,,N110,P110,R110,T110,V110)</f>
        <v>0</v>
      </c>
      <c r="AA110" s="13" t="s">
        <v>127</v>
      </c>
      <c r="AB110" s="161"/>
      <c r="AC110" s="162"/>
      <c r="AD110" s="16">
        <f t="shared" si="31"/>
        <v>0</v>
      </c>
      <c r="AE110" s="17"/>
      <c r="AF110" s="39"/>
      <c r="AG110" s="24"/>
      <c r="AH110" s="24"/>
      <c r="AI110" s="24"/>
      <c r="AJ110" s="25"/>
      <c r="AK110" s="196"/>
      <c r="AL110" s="195"/>
    </row>
    <row r="111" spans="1:38" s="47" customFormat="1" ht="111" hidden="1" customHeight="1" thickBot="1" x14ac:dyDescent="2.15">
      <c r="A111" s="12"/>
      <c r="B111" s="13"/>
      <c r="C111" s="30">
        <f>SUM(C107:C110)</f>
        <v>0</v>
      </c>
      <c r="D111" s="30">
        <f t="shared" ref="D111:W111" si="32">SUM(D107:D110)</f>
        <v>0</v>
      </c>
      <c r="E111" s="30">
        <f t="shared" si="32"/>
        <v>0</v>
      </c>
      <c r="F111" s="30">
        <f t="shared" si="32"/>
        <v>0</v>
      </c>
      <c r="G111" s="30">
        <f t="shared" si="32"/>
        <v>0</v>
      </c>
      <c r="H111" s="30">
        <f t="shared" si="32"/>
        <v>0</v>
      </c>
      <c r="I111" s="30">
        <f t="shared" si="32"/>
        <v>0</v>
      </c>
      <c r="J111" s="30">
        <f t="shared" si="32"/>
        <v>0</v>
      </c>
      <c r="K111" s="30">
        <f t="shared" si="32"/>
        <v>0</v>
      </c>
      <c r="L111" s="30">
        <f t="shared" si="32"/>
        <v>0</v>
      </c>
      <c r="M111" s="30">
        <f t="shared" si="32"/>
        <v>0</v>
      </c>
      <c r="N111" s="30">
        <f t="shared" si="32"/>
        <v>0</v>
      </c>
      <c r="O111" s="30">
        <f t="shared" si="32"/>
        <v>0</v>
      </c>
      <c r="P111" s="30">
        <f t="shared" si="32"/>
        <v>0</v>
      </c>
      <c r="Q111" s="30">
        <f t="shared" si="32"/>
        <v>0</v>
      </c>
      <c r="R111" s="30">
        <f t="shared" si="32"/>
        <v>0</v>
      </c>
      <c r="S111" s="30">
        <f t="shared" si="32"/>
        <v>0</v>
      </c>
      <c r="T111" s="30">
        <f t="shared" si="32"/>
        <v>0</v>
      </c>
      <c r="U111" s="30">
        <f t="shared" si="32"/>
        <v>0</v>
      </c>
      <c r="V111" s="30">
        <f t="shared" si="32"/>
        <v>0</v>
      </c>
      <c r="W111" s="30">
        <f t="shared" si="32"/>
        <v>0</v>
      </c>
      <c r="X111" s="114"/>
      <c r="Y111" s="14"/>
      <c r="Z111" s="14"/>
      <c r="AA111" s="13"/>
      <c r="AB111" s="163"/>
      <c r="AC111" s="164"/>
      <c r="AD111" s="16">
        <f t="shared" si="31"/>
        <v>0</v>
      </c>
      <c r="AE111" s="17"/>
      <c r="AF111" s="185"/>
      <c r="AG111" s="186"/>
      <c r="AH111" s="186"/>
      <c r="AI111" s="186"/>
      <c r="AJ111" s="187"/>
      <c r="AK111" s="196"/>
      <c r="AL111" s="195"/>
    </row>
    <row r="112" spans="1:38" s="12" customFormat="1" ht="113.25" hidden="1" customHeight="1" x14ac:dyDescent="2.1">
      <c r="B112" s="13" t="s">
        <v>128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13">
        <v>0</v>
      </c>
      <c r="Y112" s="14">
        <f t="shared" ref="Y112:Y124" si="33">SUM(C112,E112,G112,I112,K112,,M112,O112,Q112,S112,U112,W112)</f>
        <v>0</v>
      </c>
      <c r="Z112" s="14">
        <f t="shared" ref="Z112:Z124" si="34">SUM(D112,F112,H112,J112,L112,,N112,P112,R112,T112,V112)</f>
        <v>0</v>
      </c>
      <c r="AA112" s="13" t="s">
        <v>128</v>
      </c>
      <c r="AB112" s="159">
        <f>SUM(Y112:Y124)</f>
        <v>4</v>
      </c>
      <c r="AC112" s="160"/>
      <c r="AD112" s="16">
        <f t="shared" si="31"/>
        <v>0</v>
      </c>
      <c r="AE112" s="17"/>
      <c r="AF112" s="165" t="s">
        <v>129</v>
      </c>
      <c r="AG112" s="166"/>
      <c r="AH112" s="166"/>
      <c r="AI112" s="166"/>
      <c r="AJ112" s="167"/>
      <c r="AK112" s="196"/>
      <c r="AL112" s="195"/>
    </row>
    <row r="113" spans="1:38" s="12" customFormat="1" ht="113.25" hidden="1" customHeight="1" x14ac:dyDescent="2.1">
      <c r="B113" s="13" t="s">
        <v>130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13">
        <v>0</v>
      </c>
      <c r="Y113" s="14">
        <f t="shared" si="33"/>
        <v>0</v>
      </c>
      <c r="Z113" s="14">
        <f t="shared" si="34"/>
        <v>0</v>
      </c>
      <c r="AA113" s="13" t="s">
        <v>130</v>
      </c>
      <c r="AB113" s="161"/>
      <c r="AC113" s="162"/>
      <c r="AD113" s="16">
        <f t="shared" si="31"/>
        <v>0</v>
      </c>
      <c r="AE113" s="17"/>
      <c r="AF113" s="168"/>
      <c r="AG113" s="169"/>
      <c r="AH113" s="169"/>
      <c r="AI113" s="169"/>
      <c r="AJ113" s="170"/>
      <c r="AK113" s="180" t="s">
        <v>131</v>
      </c>
      <c r="AL113" s="181"/>
    </row>
    <row r="114" spans="1:38" s="12" customFormat="1" ht="113.25" hidden="1" customHeight="1" x14ac:dyDescent="2.1">
      <c r="B114" s="13" t="s">
        <v>132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13">
        <v>0</v>
      </c>
      <c r="Y114" s="14">
        <f t="shared" si="33"/>
        <v>0</v>
      </c>
      <c r="Z114" s="14">
        <f t="shared" si="34"/>
        <v>0</v>
      </c>
      <c r="AA114" s="13" t="s">
        <v>132</v>
      </c>
      <c r="AB114" s="161"/>
      <c r="AC114" s="162"/>
      <c r="AD114" s="16">
        <f t="shared" si="31"/>
        <v>0</v>
      </c>
      <c r="AE114" s="17"/>
      <c r="AF114" s="168"/>
      <c r="AG114" s="169"/>
      <c r="AH114" s="169"/>
      <c r="AI114" s="169"/>
      <c r="AJ114" s="170"/>
      <c r="AK114" s="180"/>
      <c r="AL114" s="181"/>
    </row>
    <row r="115" spans="1:38" s="12" customFormat="1" ht="113.25" hidden="1" customHeight="1" x14ac:dyDescent="2.1">
      <c r="B115" s="13" t="s">
        <v>133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13">
        <v>0</v>
      </c>
      <c r="Y115" s="14">
        <f t="shared" si="33"/>
        <v>0</v>
      </c>
      <c r="Z115" s="14">
        <f t="shared" si="34"/>
        <v>0</v>
      </c>
      <c r="AA115" s="13" t="s">
        <v>133</v>
      </c>
      <c r="AB115" s="161"/>
      <c r="AC115" s="162"/>
      <c r="AD115" s="16">
        <f t="shared" si="31"/>
        <v>0</v>
      </c>
      <c r="AE115" s="17"/>
      <c r="AF115" s="168"/>
      <c r="AG115" s="169"/>
      <c r="AH115" s="169"/>
      <c r="AI115" s="169"/>
      <c r="AJ115" s="170"/>
      <c r="AK115" s="180"/>
      <c r="AL115" s="181"/>
    </row>
    <row r="116" spans="1:38" s="12" customFormat="1" ht="113.25" hidden="1" customHeight="1" x14ac:dyDescent="2.1">
      <c r="B116" s="13" t="s">
        <v>134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13">
        <v>0</v>
      </c>
      <c r="Y116" s="14">
        <f t="shared" si="33"/>
        <v>0</v>
      </c>
      <c r="Z116" s="14">
        <f t="shared" si="34"/>
        <v>0</v>
      </c>
      <c r="AA116" s="13" t="s">
        <v>134</v>
      </c>
      <c r="AB116" s="161"/>
      <c r="AC116" s="162"/>
      <c r="AD116" s="16">
        <f t="shared" si="31"/>
        <v>0</v>
      </c>
      <c r="AE116" s="17"/>
      <c r="AF116" s="168"/>
      <c r="AG116" s="169"/>
      <c r="AH116" s="169"/>
      <c r="AI116" s="169"/>
      <c r="AJ116" s="170"/>
      <c r="AK116" s="180"/>
      <c r="AL116" s="181"/>
    </row>
    <row r="117" spans="1:38" s="12" customFormat="1" ht="113.25" customHeight="1" x14ac:dyDescent="2.1">
      <c r="B117" s="13" t="s">
        <v>135</v>
      </c>
      <c r="C117" s="14">
        <v>0</v>
      </c>
      <c r="D117" s="14">
        <v>1</v>
      </c>
      <c r="E117" s="14">
        <v>0</v>
      </c>
      <c r="F117" s="14">
        <v>1</v>
      </c>
      <c r="G117" s="14">
        <v>1</v>
      </c>
      <c r="H117" s="14">
        <v>0</v>
      </c>
      <c r="I117" s="14">
        <v>0</v>
      </c>
      <c r="J117" s="14">
        <v>1</v>
      </c>
      <c r="K117" s="14">
        <v>0</v>
      </c>
      <c r="L117" s="14">
        <v>1</v>
      </c>
      <c r="M117" s="14">
        <v>0</v>
      </c>
      <c r="N117" s="14">
        <v>1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1</v>
      </c>
      <c r="U117" s="14">
        <v>0</v>
      </c>
      <c r="V117" s="14">
        <v>1</v>
      </c>
      <c r="W117" s="14">
        <v>0</v>
      </c>
      <c r="X117" s="113">
        <v>96600</v>
      </c>
      <c r="Y117" s="14">
        <f t="shared" si="33"/>
        <v>1</v>
      </c>
      <c r="Z117" s="14">
        <f t="shared" si="34"/>
        <v>7</v>
      </c>
      <c r="AA117" s="13" t="s">
        <v>135</v>
      </c>
      <c r="AB117" s="161"/>
      <c r="AC117" s="162"/>
      <c r="AD117" s="16">
        <f t="shared" si="31"/>
        <v>96600</v>
      </c>
      <c r="AE117" s="17"/>
      <c r="AF117" s="168"/>
      <c r="AG117" s="169"/>
      <c r="AH117" s="169"/>
      <c r="AI117" s="169"/>
      <c r="AJ117" s="170"/>
      <c r="AK117" s="180"/>
      <c r="AL117" s="181"/>
    </row>
    <row r="118" spans="1:38" s="47" customFormat="1" ht="113.25" customHeight="1" x14ac:dyDescent="2.1">
      <c r="A118" s="12"/>
      <c r="B118" s="13" t="s">
        <v>136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13">
        <v>0</v>
      </c>
      <c r="Y118" s="14">
        <f t="shared" si="33"/>
        <v>0</v>
      </c>
      <c r="Z118" s="14">
        <f t="shared" si="34"/>
        <v>0</v>
      </c>
      <c r="AA118" s="13" t="s">
        <v>136</v>
      </c>
      <c r="AB118" s="161"/>
      <c r="AC118" s="162"/>
      <c r="AD118" s="16">
        <f t="shared" si="31"/>
        <v>0</v>
      </c>
      <c r="AE118" s="17"/>
      <c r="AF118" s="171">
        <f>SUM(AD112:AD124)</f>
        <v>372600</v>
      </c>
      <c r="AG118" s="169"/>
      <c r="AH118" s="169"/>
      <c r="AI118" s="169"/>
      <c r="AJ118" s="170"/>
      <c r="AK118" s="180"/>
      <c r="AL118" s="181"/>
    </row>
    <row r="119" spans="1:38" s="47" customFormat="1" ht="120.75" customHeight="1" x14ac:dyDescent="2.1">
      <c r="A119" s="12"/>
      <c r="B119" s="13" t="s">
        <v>137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1</v>
      </c>
      <c r="U119" s="14">
        <v>0</v>
      </c>
      <c r="V119" s="14">
        <v>0</v>
      </c>
      <c r="W119" s="14">
        <v>1</v>
      </c>
      <c r="X119" s="113">
        <v>96600</v>
      </c>
      <c r="Y119" s="14">
        <f t="shared" si="33"/>
        <v>1</v>
      </c>
      <c r="Z119" s="14">
        <f t="shared" si="34"/>
        <v>1</v>
      </c>
      <c r="AA119" s="13" t="s">
        <v>137</v>
      </c>
      <c r="AB119" s="161"/>
      <c r="AC119" s="162"/>
      <c r="AD119" s="16">
        <f t="shared" si="31"/>
        <v>96600</v>
      </c>
      <c r="AE119" s="17"/>
      <c r="AF119" s="171"/>
      <c r="AG119" s="169"/>
      <c r="AH119" s="169"/>
      <c r="AI119" s="169"/>
      <c r="AJ119" s="170"/>
      <c r="AK119" s="180"/>
      <c r="AL119" s="181"/>
    </row>
    <row r="120" spans="1:38" s="12" customFormat="1" ht="113.25" customHeight="1" x14ac:dyDescent="2.1">
      <c r="B120" s="13" t="s">
        <v>138</v>
      </c>
      <c r="C120" s="14">
        <v>0</v>
      </c>
      <c r="D120" s="14">
        <v>1</v>
      </c>
      <c r="E120" s="14">
        <v>0</v>
      </c>
      <c r="F120" s="14">
        <v>1</v>
      </c>
      <c r="G120" s="14">
        <v>0</v>
      </c>
      <c r="H120" s="14">
        <v>1</v>
      </c>
      <c r="I120" s="14">
        <v>0</v>
      </c>
      <c r="J120" s="14">
        <v>1</v>
      </c>
      <c r="K120" s="14">
        <v>0</v>
      </c>
      <c r="L120" s="14">
        <v>0</v>
      </c>
      <c r="M120" s="14">
        <v>0</v>
      </c>
      <c r="N120" s="14">
        <v>1</v>
      </c>
      <c r="O120" s="14">
        <v>0</v>
      </c>
      <c r="P120" s="14">
        <v>0</v>
      </c>
      <c r="Q120" s="14">
        <v>0</v>
      </c>
      <c r="R120" s="14">
        <v>1</v>
      </c>
      <c r="S120" s="14">
        <v>0</v>
      </c>
      <c r="T120" s="14">
        <v>1</v>
      </c>
      <c r="U120" s="14">
        <v>0</v>
      </c>
      <c r="V120" s="14">
        <v>0</v>
      </c>
      <c r="W120" s="14">
        <v>0</v>
      </c>
      <c r="X120" s="113">
        <v>0</v>
      </c>
      <c r="Y120" s="14">
        <f t="shared" si="33"/>
        <v>0</v>
      </c>
      <c r="Z120" s="14">
        <f t="shared" si="34"/>
        <v>7</v>
      </c>
      <c r="AA120" s="13" t="s">
        <v>138</v>
      </c>
      <c r="AB120" s="161"/>
      <c r="AC120" s="162"/>
      <c r="AD120" s="16">
        <f t="shared" si="31"/>
        <v>0</v>
      </c>
      <c r="AE120" s="17"/>
      <c r="AF120" s="26"/>
      <c r="AG120" s="27"/>
      <c r="AH120" s="27"/>
      <c r="AI120" s="27"/>
      <c r="AJ120" s="28"/>
      <c r="AK120" s="180"/>
      <c r="AL120" s="181"/>
    </row>
    <row r="121" spans="1:38" s="12" customFormat="1" ht="113.25" customHeight="1" x14ac:dyDescent="2.1">
      <c r="B121" s="13" t="s">
        <v>139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13">
        <v>0</v>
      </c>
      <c r="Y121" s="14">
        <f t="shared" si="33"/>
        <v>0</v>
      </c>
      <c r="Z121" s="14">
        <f t="shared" si="34"/>
        <v>0</v>
      </c>
      <c r="AA121" s="13" t="s">
        <v>139</v>
      </c>
      <c r="AB121" s="161"/>
      <c r="AC121" s="162"/>
      <c r="AD121" s="16">
        <f t="shared" si="31"/>
        <v>0</v>
      </c>
      <c r="AE121" s="17"/>
      <c r="AF121" s="26"/>
      <c r="AG121" s="27"/>
      <c r="AH121" s="27"/>
      <c r="AI121" s="27"/>
      <c r="AJ121" s="28"/>
      <c r="AK121" s="180"/>
      <c r="AL121" s="181"/>
    </row>
    <row r="122" spans="1:38" s="12" customFormat="1" ht="113.25" customHeight="1" x14ac:dyDescent="2.1">
      <c r="B122" s="13" t="s">
        <v>140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1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13">
        <v>0</v>
      </c>
      <c r="Y122" s="14">
        <f t="shared" si="33"/>
        <v>0</v>
      </c>
      <c r="Z122" s="14">
        <f t="shared" si="34"/>
        <v>1</v>
      </c>
      <c r="AA122" s="13" t="s">
        <v>140</v>
      </c>
      <c r="AB122" s="161"/>
      <c r="AC122" s="162"/>
      <c r="AD122" s="16">
        <f t="shared" si="31"/>
        <v>0</v>
      </c>
      <c r="AE122" s="17"/>
      <c r="AF122" s="26"/>
      <c r="AG122" s="27"/>
      <c r="AH122" s="27"/>
      <c r="AI122" s="27"/>
      <c r="AJ122" s="28"/>
      <c r="AK122" s="180"/>
      <c r="AL122" s="181"/>
    </row>
    <row r="123" spans="1:38" s="12" customFormat="1" ht="113.25" customHeight="1" thickBot="1" x14ac:dyDescent="2.15">
      <c r="B123" s="13" t="s">
        <v>141</v>
      </c>
      <c r="C123" s="14">
        <v>0</v>
      </c>
      <c r="D123" s="14"/>
      <c r="E123" s="14">
        <v>0</v>
      </c>
      <c r="F123" s="14"/>
      <c r="G123" s="14">
        <v>0</v>
      </c>
      <c r="H123" s="14"/>
      <c r="I123" s="14">
        <v>0</v>
      </c>
      <c r="J123" s="14"/>
      <c r="K123" s="14">
        <v>0</v>
      </c>
      <c r="L123" s="14"/>
      <c r="M123" s="14">
        <v>0</v>
      </c>
      <c r="N123" s="14"/>
      <c r="O123" s="14">
        <v>0</v>
      </c>
      <c r="P123" s="14"/>
      <c r="Q123" s="14">
        <v>0</v>
      </c>
      <c r="R123" s="14"/>
      <c r="S123" s="14">
        <v>0</v>
      </c>
      <c r="T123" s="14"/>
      <c r="U123" s="14">
        <v>0</v>
      </c>
      <c r="V123" s="14"/>
      <c r="W123" s="14">
        <v>1</v>
      </c>
      <c r="X123" s="113">
        <v>89700</v>
      </c>
      <c r="Y123" s="14">
        <f t="shared" si="33"/>
        <v>1</v>
      </c>
      <c r="Z123" s="14">
        <f t="shared" si="34"/>
        <v>0</v>
      </c>
      <c r="AA123" s="13" t="s">
        <v>141</v>
      </c>
      <c r="AB123" s="161"/>
      <c r="AC123" s="162"/>
      <c r="AD123" s="16">
        <f t="shared" si="31"/>
        <v>89700</v>
      </c>
      <c r="AE123" s="17"/>
      <c r="AF123" s="83"/>
      <c r="AG123" s="84"/>
      <c r="AH123" s="84"/>
      <c r="AI123" s="84"/>
      <c r="AJ123" s="85"/>
      <c r="AK123" s="180"/>
      <c r="AL123" s="181"/>
    </row>
    <row r="124" spans="1:38" s="12" customFormat="1" ht="113.25" customHeight="1" thickBot="1" x14ac:dyDescent="2.15">
      <c r="B124" s="13" t="s">
        <v>142</v>
      </c>
      <c r="C124" s="14">
        <v>0</v>
      </c>
      <c r="D124" s="14">
        <v>1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1</v>
      </c>
      <c r="M124" s="14">
        <v>0</v>
      </c>
      <c r="N124" s="14">
        <v>1</v>
      </c>
      <c r="O124" s="14">
        <v>0</v>
      </c>
      <c r="P124" s="14">
        <v>1</v>
      </c>
      <c r="Q124" s="14">
        <v>1</v>
      </c>
      <c r="R124" s="14">
        <v>0</v>
      </c>
      <c r="S124" s="14">
        <v>0</v>
      </c>
      <c r="T124" s="14">
        <v>0</v>
      </c>
      <c r="U124" s="14">
        <v>0</v>
      </c>
      <c r="V124" s="14">
        <v>1</v>
      </c>
      <c r="W124" s="14">
        <v>0</v>
      </c>
      <c r="X124" s="113">
        <v>89700</v>
      </c>
      <c r="Y124" s="14">
        <f t="shared" si="33"/>
        <v>1</v>
      </c>
      <c r="Z124" s="14">
        <f t="shared" si="34"/>
        <v>5</v>
      </c>
      <c r="AA124" s="13" t="s">
        <v>142</v>
      </c>
      <c r="AB124" s="161"/>
      <c r="AC124" s="162"/>
      <c r="AD124" s="16">
        <f t="shared" si="31"/>
        <v>89700</v>
      </c>
      <c r="AE124" s="17"/>
      <c r="AF124" s="83"/>
      <c r="AG124" s="84"/>
      <c r="AH124" s="84"/>
      <c r="AI124" s="84"/>
      <c r="AJ124" s="85"/>
      <c r="AK124" s="180"/>
      <c r="AL124" s="181"/>
    </row>
    <row r="125" spans="1:38" s="12" customFormat="1" ht="113.25" customHeight="1" x14ac:dyDescent="2.1">
      <c r="B125" s="13"/>
      <c r="C125" s="30">
        <f>SUM(C112:C124)</f>
        <v>0</v>
      </c>
      <c r="D125" s="30">
        <f t="shared" ref="D125:W125" si="35">SUM(D112:D124)</f>
        <v>3</v>
      </c>
      <c r="E125" s="30">
        <f t="shared" si="35"/>
        <v>0</v>
      </c>
      <c r="F125" s="30">
        <f t="shared" si="35"/>
        <v>2</v>
      </c>
      <c r="G125" s="30">
        <f t="shared" si="35"/>
        <v>1</v>
      </c>
      <c r="H125" s="30">
        <f t="shared" si="35"/>
        <v>1</v>
      </c>
      <c r="I125" s="30">
        <f t="shared" si="35"/>
        <v>0</v>
      </c>
      <c r="J125" s="30">
        <f t="shared" si="35"/>
        <v>2</v>
      </c>
      <c r="K125" s="30">
        <f t="shared" si="35"/>
        <v>0</v>
      </c>
      <c r="L125" s="30">
        <f t="shared" si="35"/>
        <v>2</v>
      </c>
      <c r="M125" s="30">
        <f t="shared" si="35"/>
        <v>0</v>
      </c>
      <c r="N125" s="30">
        <f t="shared" si="35"/>
        <v>3</v>
      </c>
      <c r="O125" s="30">
        <f t="shared" si="35"/>
        <v>0</v>
      </c>
      <c r="P125" s="30">
        <f t="shared" si="35"/>
        <v>2</v>
      </c>
      <c r="Q125" s="30">
        <f t="shared" si="35"/>
        <v>1</v>
      </c>
      <c r="R125" s="30">
        <f t="shared" si="35"/>
        <v>1</v>
      </c>
      <c r="S125" s="30">
        <f t="shared" si="35"/>
        <v>0</v>
      </c>
      <c r="T125" s="30">
        <f t="shared" si="35"/>
        <v>3</v>
      </c>
      <c r="U125" s="30">
        <f t="shared" si="35"/>
        <v>0</v>
      </c>
      <c r="V125" s="30">
        <f t="shared" si="35"/>
        <v>2</v>
      </c>
      <c r="W125" s="30">
        <f t="shared" si="35"/>
        <v>2</v>
      </c>
      <c r="X125" s="114">
        <v>0</v>
      </c>
      <c r="Y125" s="14"/>
      <c r="Z125" s="14"/>
      <c r="AA125" s="13"/>
      <c r="AB125" s="163"/>
      <c r="AC125" s="164"/>
      <c r="AD125" s="16">
        <f t="shared" si="31"/>
        <v>0</v>
      </c>
      <c r="AE125" s="17"/>
      <c r="AF125" s="39"/>
      <c r="AG125" s="24"/>
      <c r="AH125" s="24"/>
      <c r="AI125" s="24"/>
      <c r="AJ125" s="25"/>
      <c r="AK125" s="180"/>
      <c r="AL125" s="181"/>
    </row>
    <row r="126" spans="1:38" s="12" customFormat="1" ht="113.25" hidden="1" customHeight="1" x14ac:dyDescent="2.1">
      <c r="B126" s="13" t="s">
        <v>143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13">
        <v>0</v>
      </c>
      <c r="Y126" s="14">
        <f t="shared" ref="Y126:Y135" si="36">SUM(C126,E126,G126,I126,K126,,M126,O126,Q126,S126,U126,W126)</f>
        <v>0</v>
      </c>
      <c r="Z126" s="14">
        <f t="shared" ref="Z126:Z135" si="37">SUM(D126,F126,H126,J126,L126,,N126,P126,R126,T126,V126)</f>
        <v>0</v>
      </c>
      <c r="AA126" s="13" t="s">
        <v>143</v>
      </c>
      <c r="AB126" s="159">
        <f>SUM(Y126:Y135)</f>
        <v>0</v>
      </c>
      <c r="AC126" s="160"/>
      <c r="AD126" s="16">
        <f t="shared" si="31"/>
        <v>0</v>
      </c>
      <c r="AE126" s="17"/>
      <c r="AF126" s="165" t="s">
        <v>144</v>
      </c>
      <c r="AG126" s="166"/>
      <c r="AH126" s="166"/>
      <c r="AI126" s="166"/>
      <c r="AJ126" s="167"/>
      <c r="AK126" s="180"/>
      <c r="AL126" s="181"/>
    </row>
    <row r="127" spans="1:38" s="12" customFormat="1" ht="113.25" hidden="1" customHeight="1" x14ac:dyDescent="2.1">
      <c r="B127" s="13" t="s">
        <v>145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13">
        <v>0</v>
      </c>
      <c r="Y127" s="14">
        <f t="shared" si="36"/>
        <v>0</v>
      </c>
      <c r="Z127" s="14">
        <f t="shared" si="37"/>
        <v>0</v>
      </c>
      <c r="AA127" s="13" t="s">
        <v>145</v>
      </c>
      <c r="AB127" s="161"/>
      <c r="AC127" s="162"/>
      <c r="AD127" s="16">
        <f t="shared" si="31"/>
        <v>0</v>
      </c>
      <c r="AE127" s="17"/>
      <c r="AF127" s="168"/>
      <c r="AG127" s="169"/>
      <c r="AH127" s="169"/>
      <c r="AI127" s="169"/>
      <c r="AJ127" s="170"/>
      <c r="AK127" s="180"/>
      <c r="AL127" s="181"/>
    </row>
    <row r="128" spans="1:38" s="12" customFormat="1" ht="113.25" hidden="1" customHeight="1" x14ac:dyDescent="2.1">
      <c r="B128" s="13" t="s">
        <v>146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13">
        <v>0</v>
      </c>
      <c r="Y128" s="14">
        <f t="shared" si="36"/>
        <v>0</v>
      </c>
      <c r="Z128" s="14">
        <f t="shared" si="37"/>
        <v>0</v>
      </c>
      <c r="AA128" s="13" t="s">
        <v>146</v>
      </c>
      <c r="AB128" s="161"/>
      <c r="AC128" s="162"/>
      <c r="AD128" s="16">
        <f t="shared" si="31"/>
        <v>0</v>
      </c>
      <c r="AE128" s="17"/>
      <c r="AF128" s="39"/>
      <c r="AG128" s="24"/>
      <c r="AH128" s="24"/>
      <c r="AI128" s="24"/>
      <c r="AJ128" s="25"/>
      <c r="AK128" s="180"/>
      <c r="AL128" s="181"/>
    </row>
    <row r="129" spans="1:40" s="12" customFormat="1" ht="113.25" hidden="1" customHeight="1" x14ac:dyDescent="2.1">
      <c r="B129" s="13" t="s">
        <v>147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13">
        <v>0</v>
      </c>
      <c r="Y129" s="14">
        <f t="shared" si="36"/>
        <v>0</v>
      </c>
      <c r="Z129" s="14">
        <f t="shared" si="37"/>
        <v>0</v>
      </c>
      <c r="AA129" s="13" t="s">
        <v>147</v>
      </c>
      <c r="AB129" s="161"/>
      <c r="AC129" s="162"/>
      <c r="AD129" s="16">
        <f t="shared" si="31"/>
        <v>0</v>
      </c>
      <c r="AE129" s="17"/>
      <c r="AF129" s="171">
        <f>SUM(AD126:AD135)</f>
        <v>0</v>
      </c>
      <c r="AG129" s="169"/>
      <c r="AH129" s="169"/>
      <c r="AI129" s="169"/>
      <c r="AJ129" s="170"/>
      <c r="AK129" s="180"/>
      <c r="AL129" s="181"/>
    </row>
    <row r="130" spans="1:40" s="12" customFormat="1" ht="113.25" hidden="1" customHeight="1" x14ac:dyDescent="2.1">
      <c r="B130" s="13" t="s">
        <v>148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13">
        <v>0</v>
      </c>
      <c r="Y130" s="14">
        <f t="shared" si="36"/>
        <v>0</v>
      </c>
      <c r="Z130" s="14">
        <f t="shared" si="37"/>
        <v>0</v>
      </c>
      <c r="AA130" s="13" t="s">
        <v>148</v>
      </c>
      <c r="AB130" s="161"/>
      <c r="AC130" s="162"/>
      <c r="AD130" s="16">
        <f t="shared" si="31"/>
        <v>0</v>
      </c>
      <c r="AE130" s="17"/>
      <c r="AF130" s="23"/>
      <c r="AG130" s="24"/>
      <c r="AH130" s="24"/>
      <c r="AI130" s="24"/>
      <c r="AJ130" s="25"/>
      <c r="AK130" s="180"/>
      <c r="AL130" s="181"/>
    </row>
    <row r="131" spans="1:40" s="12" customFormat="1" ht="113.25" hidden="1" customHeight="1" x14ac:dyDescent="2.1">
      <c r="B131" s="13" t="s">
        <v>149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13">
        <v>0</v>
      </c>
      <c r="Y131" s="14">
        <f t="shared" si="36"/>
        <v>0</v>
      </c>
      <c r="Z131" s="14">
        <f t="shared" si="37"/>
        <v>0</v>
      </c>
      <c r="AA131" s="13" t="s">
        <v>149</v>
      </c>
      <c r="AB131" s="161"/>
      <c r="AC131" s="162"/>
      <c r="AD131" s="16">
        <f t="shared" si="31"/>
        <v>0</v>
      </c>
      <c r="AE131" s="17"/>
      <c r="AF131" s="26"/>
      <c r="AG131" s="27"/>
      <c r="AH131" s="27"/>
      <c r="AI131" s="27"/>
      <c r="AJ131" s="28"/>
      <c r="AK131" s="180"/>
      <c r="AL131" s="181"/>
    </row>
    <row r="132" spans="1:40" s="12" customFormat="1" ht="94.5" hidden="1" customHeight="1" x14ac:dyDescent="2.1">
      <c r="B132" s="13" t="s">
        <v>150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13">
        <v>0</v>
      </c>
      <c r="Y132" s="14">
        <f t="shared" si="36"/>
        <v>0</v>
      </c>
      <c r="Z132" s="14">
        <f t="shared" si="37"/>
        <v>0</v>
      </c>
      <c r="AA132" s="13" t="s">
        <v>150</v>
      </c>
      <c r="AB132" s="161"/>
      <c r="AC132" s="162"/>
      <c r="AD132" s="16">
        <f t="shared" si="31"/>
        <v>0</v>
      </c>
      <c r="AE132" s="17"/>
      <c r="AF132"/>
      <c r="AG132"/>
      <c r="AH132"/>
      <c r="AI132"/>
      <c r="AJ132"/>
      <c r="AK132" s="180"/>
      <c r="AL132" s="181"/>
    </row>
    <row r="133" spans="1:40" s="12" customFormat="1" ht="146.25" hidden="1" x14ac:dyDescent="2.1">
      <c r="B133" s="13" t="s">
        <v>151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13">
        <v>0</v>
      </c>
      <c r="Y133" s="14">
        <f t="shared" si="36"/>
        <v>0</v>
      </c>
      <c r="Z133" s="14">
        <f t="shared" si="37"/>
        <v>0</v>
      </c>
      <c r="AA133" s="13" t="s">
        <v>151</v>
      </c>
      <c r="AB133" s="161"/>
      <c r="AC133" s="162"/>
      <c r="AD133" s="16">
        <f t="shared" si="31"/>
        <v>0</v>
      </c>
      <c r="AE133" s="17"/>
      <c r="AF133" s="26"/>
      <c r="AG133" s="27"/>
      <c r="AH133" s="27"/>
      <c r="AI133" s="27"/>
      <c r="AJ133" s="28"/>
      <c r="AK133" s="180"/>
      <c r="AL133" s="181"/>
    </row>
    <row r="134" spans="1:40" s="12" customFormat="1" ht="146.25" hidden="1" x14ac:dyDescent="2.1">
      <c r="B134" s="13" t="s">
        <v>152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13">
        <v>0</v>
      </c>
      <c r="Y134" s="14">
        <f t="shared" si="36"/>
        <v>0</v>
      </c>
      <c r="Z134" s="14">
        <f t="shared" si="37"/>
        <v>0</v>
      </c>
      <c r="AA134" s="13" t="s">
        <v>152</v>
      </c>
      <c r="AB134" s="161"/>
      <c r="AC134" s="162"/>
      <c r="AD134" s="16">
        <f t="shared" si="31"/>
        <v>0</v>
      </c>
      <c r="AE134" s="17"/>
      <c r="AF134" s="26"/>
      <c r="AG134" s="27"/>
      <c r="AH134" s="27"/>
      <c r="AI134" s="27"/>
      <c r="AJ134" s="28"/>
      <c r="AK134" s="180"/>
      <c r="AL134" s="181"/>
    </row>
    <row r="135" spans="1:40" s="12" customFormat="1" ht="147" hidden="1" thickBot="1" x14ac:dyDescent="2.15">
      <c r="B135" s="13" t="s">
        <v>153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13">
        <v>0</v>
      </c>
      <c r="Y135" s="14">
        <f t="shared" si="36"/>
        <v>0</v>
      </c>
      <c r="Z135" s="14">
        <f t="shared" si="37"/>
        <v>0</v>
      </c>
      <c r="AA135" s="13" t="s">
        <v>153</v>
      </c>
      <c r="AB135" s="161"/>
      <c r="AC135" s="162"/>
      <c r="AD135" s="16">
        <f t="shared" si="31"/>
        <v>0</v>
      </c>
      <c r="AE135" s="17"/>
      <c r="AF135" s="83"/>
      <c r="AG135" s="84"/>
      <c r="AH135" s="84"/>
      <c r="AI135" s="84"/>
      <c r="AJ135" s="85"/>
      <c r="AK135" s="180"/>
      <c r="AL135" s="181"/>
    </row>
    <row r="136" spans="1:40" s="12" customFormat="1" ht="113.25" hidden="1" customHeight="1" thickBot="1" x14ac:dyDescent="2.15">
      <c r="B136" s="13"/>
      <c r="C136" s="30">
        <f>SUM(C126:C135)</f>
        <v>0</v>
      </c>
      <c r="D136" s="30">
        <f t="shared" ref="D136:W136" si="38">SUM(D126:D135)</f>
        <v>0</v>
      </c>
      <c r="E136" s="30">
        <f t="shared" si="38"/>
        <v>0</v>
      </c>
      <c r="F136" s="30">
        <f t="shared" si="38"/>
        <v>0</v>
      </c>
      <c r="G136" s="30">
        <f t="shared" si="38"/>
        <v>0</v>
      </c>
      <c r="H136" s="30">
        <f t="shared" si="38"/>
        <v>0</v>
      </c>
      <c r="I136" s="30">
        <f t="shared" si="38"/>
        <v>0</v>
      </c>
      <c r="J136" s="30">
        <f t="shared" si="38"/>
        <v>0</v>
      </c>
      <c r="K136" s="30">
        <f t="shared" si="38"/>
        <v>0</v>
      </c>
      <c r="L136" s="30">
        <f t="shared" si="38"/>
        <v>0</v>
      </c>
      <c r="M136" s="30">
        <f t="shared" si="38"/>
        <v>0</v>
      </c>
      <c r="N136" s="30">
        <f t="shared" si="38"/>
        <v>0</v>
      </c>
      <c r="O136" s="30">
        <f t="shared" si="38"/>
        <v>0</v>
      </c>
      <c r="P136" s="30">
        <f t="shared" si="38"/>
        <v>0</v>
      </c>
      <c r="Q136" s="30">
        <f t="shared" si="38"/>
        <v>0</v>
      </c>
      <c r="R136" s="30">
        <f t="shared" si="38"/>
        <v>0</v>
      </c>
      <c r="S136" s="30">
        <f t="shared" si="38"/>
        <v>0</v>
      </c>
      <c r="T136" s="30">
        <f t="shared" si="38"/>
        <v>0</v>
      </c>
      <c r="U136" s="30">
        <f t="shared" si="38"/>
        <v>0</v>
      </c>
      <c r="V136" s="30">
        <f t="shared" si="38"/>
        <v>0</v>
      </c>
      <c r="W136" s="30">
        <f t="shared" si="38"/>
        <v>0</v>
      </c>
      <c r="X136" s="114">
        <v>0</v>
      </c>
      <c r="Y136" s="14"/>
      <c r="Z136" s="14"/>
      <c r="AA136" s="13"/>
      <c r="AB136" s="163"/>
      <c r="AC136" s="164"/>
      <c r="AD136" s="16">
        <f t="shared" si="31"/>
        <v>0</v>
      </c>
      <c r="AE136" s="17"/>
      <c r="AF136" s="182" t="s">
        <v>154</v>
      </c>
      <c r="AG136" s="183"/>
      <c r="AH136" s="183"/>
      <c r="AI136" s="183"/>
      <c r="AJ136" s="183"/>
      <c r="AK136" s="180"/>
      <c r="AL136" s="181"/>
    </row>
    <row r="137" spans="1:40" s="12" customFormat="1" ht="146.25" hidden="1" x14ac:dyDescent="2.1">
      <c r="B137" s="13" t="s">
        <v>155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13">
        <v>0</v>
      </c>
      <c r="Y137" s="14">
        <f>SUM(C137,E137,G137,I137,K137,,M137,O137,Q137,S137,U137,W137)</f>
        <v>0</v>
      </c>
      <c r="Z137" s="14">
        <f>SUM(D137,F137,H137,J137,L137,,N137,P137,R137,T137,V137)</f>
        <v>0</v>
      </c>
      <c r="AA137" s="13" t="s">
        <v>155</v>
      </c>
      <c r="AB137" s="154"/>
      <c r="AC137" s="155"/>
      <c r="AD137" s="16">
        <f>X137</f>
        <v>0</v>
      </c>
      <c r="AE137" s="17"/>
      <c r="AF137" s="184">
        <f>AD137</f>
        <v>0</v>
      </c>
      <c r="AG137" s="183"/>
      <c r="AH137" s="183"/>
      <c r="AI137" s="183"/>
      <c r="AJ137" s="183"/>
      <c r="AK137" s="180"/>
      <c r="AL137" s="181"/>
    </row>
    <row r="138" spans="1:40" s="88" customFormat="1" ht="108" customHeight="1" x14ac:dyDescent="2.35">
      <c r="A138"/>
      <c r="B138" s="86" t="s">
        <v>156</v>
      </c>
      <c r="C138" s="142" t="s">
        <v>2</v>
      </c>
      <c r="D138" s="143"/>
      <c r="E138" s="142" t="s">
        <v>3</v>
      </c>
      <c r="F138" s="143"/>
      <c r="G138" s="142" t="s">
        <v>4</v>
      </c>
      <c r="H138" s="143"/>
      <c r="I138" s="142" t="s">
        <v>5</v>
      </c>
      <c r="J138" s="143"/>
      <c r="K138" s="142" t="s">
        <v>6</v>
      </c>
      <c r="L138" s="143"/>
      <c r="M138" s="142" t="s">
        <v>8</v>
      </c>
      <c r="N138" s="143"/>
      <c r="O138" s="142" t="s">
        <v>9</v>
      </c>
      <c r="P138" s="143"/>
      <c r="Q138" s="142" t="s">
        <v>10</v>
      </c>
      <c r="R138" s="143"/>
      <c r="S138" s="142" t="s">
        <v>11</v>
      </c>
      <c r="T138" s="143"/>
      <c r="U138" s="142" t="s">
        <v>12</v>
      </c>
      <c r="V138" s="143"/>
      <c r="W138" s="9" t="s">
        <v>13</v>
      </c>
      <c r="X138" s="119"/>
      <c r="Y138" s="49" t="s">
        <v>14</v>
      </c>
      <c r="Z138" s="49" t="s">
        <v>15</v>
      </c>
      <c r="AA138" s="86" t="s">
        <v>156</v>
      </c>
      <c r="AB138" s="157"/>
      <c r="AC138" s="158"/>
      <c r="AD138" s="6" t="s">
        <v>17</v>
      </c>
      <c r="AE138" s="7"/>
      <c r="AF138" s="2"/>
      <c r="AG138" s="2"/>
      <c r="AH138" s="2"/>
      <c r="AI138" s="2"/>
      <c r="AJ138" s="2"/>
      <c r="AK138" s="87"/>
      <c r="AL138" s="87"/>
      <c r="AM138" s="47"/>
      <c r="AN138" s="47"/>
    </row>
    <row r="139" spans="1:40" s="47" customFormat="1" ht="112.5" customHeight="1" x14ac:dyDescent="2.35">
      <c r="A139" s="12"/>
      <c r="B139" s="13" t="s">
        <v>157</v>
      </c>
      <c r="C139" s="14">
        <v>0</v>
      </c>
      <c r="D139" s="14">
        <v>3</v>
      </c>
      <c r="E139" s="14">
        <v>2</v>
      </c>
      <c r="F139" s="14">
        <v>6</v>
      </c>
      <c r="G139" s="14">
        <v>0</v>
      </c>
      <c r="H139" s="14">
        <v>4</v>
      </c>
      <c r="I139" s="14">
        <v>2</v>
      </c>
      <c r="J139" s="14">
        <v>3</v>
      </c>
      <c r="K139" s="14">
        <v>0</v>
      </c>
      <c r="L139" s="14">
        <v>4</v>
      </c>
      <c r="M139" s="14">
        <v>2</v>
      </c>
      <c r="N139" s="14">
        <v>7</v>
      </c>
      <c r="O139" s="14">
        <v>2</v>
      </c>
      <c r="P139" s="14">
        <v>1</v>
      </c>
      <c r="Q139" s="14">
        <v>3</v>
      </c>
      <c r="R139" s="14">
        <v>1</v>
      </c>
      <c r="S139" s="14">
        <v>0</v>
      </c>
      <c r="T139" s="14">
        <v>5</v>
      </c>
      <c r="U139" s="14">
        <v>0</v>
      </c>
      <c r="V139" s="14">
        <v>4</v>
      </c>
      <c r="W139" s="14">
        <v>0</v>
      </c>
      <c r="X139" s="113">
        <v>119900</v>
      </c>
      <c r="Y139" s="14">
        <f>SUM(C139,E139,G139,I139,K139,,M139,O139,Q139,S139,U139,W139)</f>
        <v>11</v>
      </c>
      <c r="Z139" s="14">
        <f>SUM(D139,F139,H139,J139,L139,,N139,P139,R139,T139,V139)</f>
        <v>38</v>
      </c>
      <c r="AA139" s="13" t="s">
        <v>157</v>
      </c>
      <c r="AB139" s="176">
        <f>SUM(Y139:Y140)</f>
        <v>19</v>
      </c>
      <c r="AC139" s="177"/>
      <c r="AD139" s="16">
        <f>X139</f>
        <v>119900</v>
      </c>
      <c r="AE139" s="17"/>
      <c r="AF139" s="2"/>
      <c r="AG139" s="2"/>
      <c r="AH139" s="2"/>
      <c r="AI139" s="2"/>
      <c r="AJ139" s="2"/>
      <c r="AK139" s="87"/>
      <c r="AL139" s="87"/>
    </row>
    <row r="140" spans="1:40" s="47" customFormat="1" ht="112.5" customHeight="1" x14ac:dyDescent="2.35">
      <c r="A140" s="12"/>
      <c r="B140" s="13" t="s">
        <v>158</v>
      </c>
      <c r="C140" s="14">
        <v>0</v>
      </c>
      <c r="D140" s="14">
        <v>3</v>
      </c>
      <c r="E140" s="14">
        <v>1</v>
      </c>
      <c r="F140" s="14">
        <v>8</v>
      </c>
      <c r="G140" s="14">
        <v>2</v>
      </c>
      <c r="H140" s="14">
        <v>3</v>
      </c>
      <c r="I140" s="14">
        <v>1</v>
      </c>
      <c r="J140" s="14">
        <v>4</v>
      </c>
      <c r="K140" s="14">
        <v>0</v>
      </c>
      <c r="L140" s="14">
        <v>4</v>
      </c>
      <c r="M140" s="14">
        <v>3</v>
      </c>
      <c r="N140" s="14">
        <v>6</v>
      </c>
      <c r="O140" s="14">
        <v>1</v>
      </c>
      <c r="P140" s="14">
        <v>2</v>
      </c>
      <c r="Q140" s="14">
        <v>0</v>
      </c>
      <c r="R140" s="14">
        <v>4</v>
      </c>
      <c r="S140" s="14">
        <v>0</v>
      </c>
      <c r="T140" s="14">
        <v>4</v>
      </c>
      <c r="U140" s="14">
        <v>0</v>
      </c>
      <c r="V140" s="14">
        <v>5</v>
      </c>
      <c r="W140" s="14">
        <v>0</v>
      </c>
      <c r="X140" s="113">
        <v>98400</v>
      </c>
      <c r="Y140" s="14">
        <f>SUM(C140,E140,G140,I140,K140,,M140,O140,Q140,S140,U140,W140)</f>
        <v>8</v>
      </c>
      <c r="Z140" s="14">
        <f>SUM(D140,F140,H140,J140,L140,,N140,P140,R140,T140,V140)</f>
        <v>43</v>
      </c>
      <c r="AA140" s="13" t="s">
        <v>158</v>
      </c>
      <c r="AB140" s="178"/>
      <c r="AC140" s="179"/>
      <c r="AD140" s="16">
        <f>X140</f>
        <v>98400</v>
      </c>
      <c r="AE140" s="17"/>
      <c r="AF140" s="2"/>
      <c r="AG140" s="2"/>
      <c r="AH140" s="2"/>
      <c r="AI140" s="2"/>
      <c r="AJ140" s="2"/>
      <c r="AK140" s="89"/>
      <c r="AL140" s="89"/>
      <c r="AM140" s="88"/>
      <c r="AN140" s="88"/>
    </row>
    <row r="141" spans="1:40" s="88" customFormat="1" ht="108" customHeight="1" x14ac:dyDescent="2.35">
      <c r="A141"/>
      <c r="B141" s="86" t="s">
        <v>159</v>
      </c>
      <c r="C141" s="142" t="s">
        <v>2</v>
      </c>
      <c r="D141" s="143"/>
      <c r="E141" s="142" t="s">
        <v>3</v>
      </c>
      <c r="F141" s="143"/>
      <c r="G141" s="142" t="s">
        <v>4</v>
      </c>
      <c r="H141" s="143"/>
      <c r="I141" s="142" t="s">
        <v>5</v>
      </c>
      <c r="J141" s="143"/>
      <c r="K141" s="142" t="s">
        <v>6</v>
      </c>
      <c r="L141" s="143"/>
      <c r="M141" s="142" t="s">
        <v>8</v>
      </c>
      <c r="N141" s="143"/>
      <c r="O141" s="142" t="s">
        <v>9</v>
      </c>
      <c r="P141" s="143"/>
      <c r="Q141" s="142" t="s">
        <v>10</v>
      </c>
      <c r="R141" s="143"/>
      <c r="S141" s="142" t="s">
        <v>11</v>
      </c>
      <c r="T141" s="143"/>
      <c r="U141" s="142" t="s">
        <v>12</v>
      </c>
      <c r="V141" s="143"/>
      <c r="W141" s="9" t="s">
        <v>13</v>
      </c>
      <c r="X141" s="119"/>
      <c r="Y141" s="49" t="s">
        <v>14</v>
      </c>
      <c r="Z141" s="49" t="s">
        <v>15</v>
      </c>
      <c r="AA141" s="86" t="s">
        <v>159</v>
      </c>
      <c r="AB141" s="157"/>
      <c r="AC141" s="158"/>
      <c r="AD141" s="6" t="s">
        <v>17</v>
      </c>
      <c r="AE141" s="7"/>
      <c r="AF141" s="2"/>
      <c r="AG141" s="2"/>
      <c r="AH141" s="2"/>
      <c r="AI141" s="2"/>
      <c r="AJ141" s="2"/>
      <c r="AK141" s="87"/>
      <c r="AL141" s="87"/>
      <c r="AM141" s="47"/>
      <c r="AN141" s="47"/>
    </row>
    <row r="142" spans="1:40" s="47" customFormat="1" ht="116.25" customHeight="1" x14ac:dyDescent="2.35">
      <c r="A142" s="12"/>
      <c r="B142" s="13" t="s">
        <v>160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0</v>
      </c>
      <c r="N142" s="14">
        <v>0</v>
      </c>
      <c r="O142" s="14">
        <v>0</v>
      </c>
      <c r="P142" s="14">
        <v>2</v>
      </c>
      <c r="Q142" s="14">
        <v>8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13">
        <v>27000</v>
      </c>
      <c r="Y142" s="14">
        <f t="shared" ref="Y142:Y152" si="39">SUM(C142,E142,G142,I142,K142,,M142,O142,Q142,S142,U142,W142)</f>
        <v>8</v>
      </c>
      <c r="Z142" s="14">
        <f t="shared" ref="Z142:Z152" si="40">SUM(D142,F142,H142,J142,L142,,N142,P142,R142,T142,V142)</f>
        <v>3</v>
      </c>
      <c r="AA142" s="13" t="s">
        <v>160</v>
      </c>
      <c r="AB142" s="159">
        <f>SUM(Y142:Y152)</f>
        <v>17</v>
      </c>
      <c r="AC142" s="160"/>
      <c r="AD142" s="16">
        <f>X142</f>
        <v>27000</v>
      </c>
      <c r="AE142" s="17"/>
      <c r="AF142" s="2"/>
      <c r="AG142" s="2"/>
      <c r="AH142" s="2"/>
      <c r="AI142" s="2"/>
      <c r="AJ142" s="2"/>
      <c r="AK142" s="87"/>
      <c r="AL142" s="87"/>
    </row>
    <row r="143" spans="1:40" s="47" customFormat="1" ht="116.25" hidden="1" customHeight="1" x14ac:dyDescent="2.35">
      <c r="A143" s="12"/>
      <c r="B143" s="13" t="s">
        <v>159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13">
        <v>0</v>
      </c>
      <c r="Y143" s="14">
        <f t="shared" si="39"/>
        <v>0</v>
      </c>
      <c r="Z143" s="14">
        <f t="shared" si="40"/>
        <v>0</v>
      </c>
      <c r="AA143" s="13" t="s">
        <v>159</v>
      </c>
      <c r="AB143" s="161"/>
      <c r="AC143" s="162"/>
      <c r="AD143" s="16">
        <f t="shared" ref="AD143:AD152" si="41">X143</f>
        <v>0</v>
      </c>
      <c r="AE143" s="17"/>
      <c r="AF143" s="2"/>
      <c r="AG143" s="2"/>
      <c r="AH143" s="2"/>
      <c r="AI143" s="2"/>
      <c r="AJ143" s="2"/>
      <c r="AK143" s="87"/>
      <c r="AL143" s="87"/>
    </row>
    <row r="144" spans="1:40" s="47" customFormat="1" hidden="1" x14ac:dyDescent="2.35">
      <c r="A144" s="12"/>
      <c r="B144" s="13" t="s">
        <v>161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13">
        <v>0</v>
      </c>
      <c r="Y144" s="14">
        <f t="shared" si="39"/>
        <v>0</v>
      </c>
      <c r="Z144" s="14">
        <f t="shared" si="40"/>
        <v>0</v>
      </c>
      <c r="AA144" s="13" t="s">
        <v>161</v>
      </c>
      <c r="AB144" s="161"/>
      <c r="AC144" s="162"/>
      <c r="AD144" s="16">
        <f t="shared" si="41"/>
        <v>0</v>
      </c>
      <c r="AE144" s="17"/>
      <c r="AF144" s="2"/>
      <c r="AG144" s="2"/>
      <c r="AH144" s="2"/>
      <c r="AI144" s="2"/>
      <c r="AJ144" s="2"/>
      <c r="AK144" s="87"/>
      <c r="AL144" s="87"/>
    </row>
    <row r="145" spans="1:40" s="47" customFormat="1" ht="116.25" customHeight="1" x14ac:dyDescent="2.35">
      <c r="A145" s="12"/>
      <c r="B145" s="13" t="s">
        <v>162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13">
        <v>0</v>
      </c>
      <c r="Y145" s="14">
        <f t="shared" si="39"/>
        <v>0</v>
      </c>
      <c r="Z145" s="14">
        <f t="shared" si="40"/>
        <v>0</v>
      </c>
      <c r="AA145" s="13" t="s">
        <v>162</v>
      </c>
      <c r="AB145" s="161"/>
      <c r="AC145" s="162"/>
      <c r="AD145" s="16">
        <f t="shared" si="41"/>
        <v>0</v>
      </c>
      <c r="AE145" s="17"/>
      <c r="AF145" s="2"/>
      <c r="AG145" s="2"/>
      <c r="AH145" s="2"/>
      <c r="AI145" s="2"/>
      <c r="AJ145" s="2"/>
      <c r="AK145" s="87"/>
      <c r="AL145" s="87"/>
    </row>
    <row r="146" spans="1:40" s="47" customFormat="1" ht="116.25" customHeight="1" x14ac:dyDescent="2.35">
      <c r="A146" s="12"/>
      <c r="B146" s="13" t="s">
        <v>163</v>
      </c>
      <c r="C146" s="14">
        <v>0</v>
      </c>
      <c r="D146" s="14">
        <v>1</v>
      </c>
      <c r="E146" s="14">
        <v>0</v>
      </c>
      <c r="F146" s="14">
        <v>1</v>
      </c>
      <c r="G146" s="14">
        <v>0</v>
      </c>
      <c r="H146" s="14">
        <v>3</v>
      </c>
      <c r="I146" s="14">
        <v>0</v>
      </c>
      <c r="J146" s="14">
        <v>1</v>
      </c>
      <c r="K146" s="14">
        <v>0</v>
      </c>
      <c r="L146" s="14">
        <v>3</v>
      </c>
      <c r="M146" s="14">
        <v>0</v>
      </c>
      <c r="N146" s="14">
        <v>2</v>
      </c>
      <c r="O146" s="14">
        <v>0</v>
      </c>
      <c r="P146" s="14">
        <v>3</v>
      </c>
      <c r="Q146" s="14">
        <v>0</v>
      </c>
      <c r="R146" s="14">
        <v>1</v>
      </c>
      <c r="S146" s="14">
        <v>0</v>
      </c>
      <c r="T146" s="14">
        <v>3</v>
      </c>
      <c r="U146" s="14">
        <v>0</v>
      </c>
      <c r="V146" s="14">
        <v>1</v>
      </c>
      <c r="W146" s="14">
        <v>0</v>
      </c>
      <c r="X146" s="113">
        <v>0</v>
      </c>
      <c r="Y146" s="14">
        <f t="shared" si="39"/>
        <v>0</v>
      </c>
      <c r="Z146" s="14">
        <f t="shared" si="40"/>
        <v>19</v>
      </c>
      <c r="AA146" s="13" t="s">
        <v>163</v>
      </c>
      <c r="AB146" s="161"/>
      <c r="AC146" s="162"/>
      <c r="AD146" s="16">
        <f t="shared" si="41"/>
        <v>0</v>
      </c>
      <c r="AE146" s="17"/>
      <c r="AF146" s="2"/>
      <c r="AG146" s="2"/>
      <c r="AH146" s="2"/>
      <c r="AI146" s="2"/>
      <c r="AJ146" s="2"/>
      <c r="AK146" s="87"/>
      <c r="AL146" s="87"/>
    </row>
    <row r="147" spans="1:40" s="47" customFormat="1" ht="116.25" customHeight="1" x14ac:dyDescent="2.35">
      <c r="A147" s="12"/>
      <c r="B147" s="13" t="s">
        <v>164</v>
      </c>
      <c r="C147" s="14">
        <v>1</v>
      </c>
      <c r="D147" s="14">
        <v>0</v>
      </c>
      <c r="E147" s="14">
        <v>1</v>
      </c>
      <c r="F147" s="14">
        <v>3</v>
      </c>
      <c r="G147" s="14">
        <v>1</v>
      </c>
      <c r="H147" s="14">
        <v>1</v>
      </c>
      <c r="I147" s="14">
        <v>0</v>
      </c>
      <c r="J147" s="14">
        <v>0</v>
      </c>
      <c r="K147" s="14">
        <v>0</v>
      </c>
      <c r="L147" s="14">
        <v>4</v>
      </c>
      <c r="M147" s="14">
        <v>1</v>
      </c>
      <c r="N147" s="14">
        <v>2</v>
      </c>
      <c r="O147" s="14">
        <v>0</v>
      </c>
      <c r="P147" s="14">
        <v>0</v>
      </c>
      <c r="Q147" s="14">
        <v>0</v>
      </c>
      <c r="R147" s="14">
        <v>1</v>
      </c>
      <c r="S147" s="14">
        <v>0</v>
      </c>
      <c r="T147" s="14">
        <v>3</v>
      </c>
      <c r="U147" s="14">
        <v>0</v>
      </c>
      <c r="V147" s="14">
        <v>0</v>
      </c>
      <c r="W147" s="14">
        <v>0</v>
      </c>
      <c r="X147" s="113">
        <v>46400</v>
      </c>
      <c r="Y147" s="14">
        <f t="shared" si="39"/>
        <v>4</v>
      </c>
      <c r="Z147" s="14">
        <f t="shared" si="40"/>
        <v>14</v>
      </c>
      <c r="AA147" s="13" t="s">
        <v>164</v>
      </c>
      <c r="AB147" s="161"/>
      <c r="AC147" s="162"/>
      <c r="AD147" s="16">
        <f t="shared" si="41"/>
        <v>46400</v>
      </c>
      <c r="AE147" s="17"/>
      <c r="AF147" s="2"/>
      <c r="AG147" s="2"/>
      <c r="AH147" s="2"/>
      <c r="AI147" s="2"/>
      <c r="AJ147" s="2"/>
      <c r="AK147" s="87"/>
      <c r="AL147" s="87"/>
    </row>
    <row r="148" spans="1:40" s="47" customFormat="1" ht="116.25" customHeight="1" x14ac:dyDescent="2.35">
      <c r="A148" s="12"/>
      <c r="B148" s="13" t="s">
        <v>165</v>
      </c>
      <c r="C148" s="14">
        <v>0</v>
      </c>
      <c r="D148" s="14">
        <v>1</v>
      </c>
      <c r="E148" s="14">
        <v>0</v>
      </c>
      <c r="F148" s="14">
        <v>0</v>
      </c>
      <c r="G148" s="14">
        <v>0</v>
      </c>
      <c r="H148" s="14">
        <v>1</v>
      </c>
      <c r="I148" s="14">
        <v>0</v>
      </c>
      <c r="J148" s="14">
        <v>0</v>
      </c>
      <c r="K148" s="14">
        <v>0</v>
      </c>
      <c r="L148" s="14">
        <v>2</v>
      </c>
      <c r="M148" s="14">
        <v>0</v>
      </c>
      <c r="N148" s="14">
        <v>3</v>
      </c>
      <c r="O148" s="14">
        <v>0</v>
      </c>
      <c r="P148" s="14">
        <v>1</v>
      </c>
      <c r="Q148" s="14">
        <v>0</v>
      </c>
      <c r="R148" s="14">
        <v>1</v>
      </c>
      <c r="S148" s="14">
        <v>0</v>
      </c>
      <c r="T148" s="14">
        <v>4</v>
      </c>
      <c r="U148" s="14">
        <v>0</v>
      </c>
      <c r="V148" s="14">
        <v>0</v>
      </c>
      <c r="W148" s="14">
        <v>0</v>
      </c>
      <c r="X148" s="113">
        <v>0</v>
      </c>
      <c r="Y148" s="14">
        <f t="shared" si="39"/>
        <v>0</v>
      </c>
      <c r="Z148" s="14">
        <f t="shared" si="40"/>
        <v>13</v>
      </c>
      <c r="AA148" s="13" t="s">
        <v>165</v>
      </c>
      <c r="AB148" s="161"/>
      <c r="AC148" s="162"/>
      <c r="AD148" s="16">
        <f t="shared" si="41"/>
        <v>0</v>
      </c>
      <c r="AE148" s="17"/>
      <c r="AF148" s="2"/>
      <c r="AG148" s="2"/>
      <c r="AH148" s="2"/>
      <c r="AI148" s="2"/>
      <c r="AJ148" s="2"/>
      <c r="AK148" s="87"/>
      <c r="AL148" s="87"/>
    </row>
    <row r="149" spans="1:40" s="47" customFormat="1" ht="116.25" customHeight="1" x14ac:dyDescent="2.35">
      <c r="A149" s="12"/>
      <c r="B149" s="13" t="s">
        <v>166</v>
      </c>
      <c r="C149" s="14">
        <v>0</v>
      </c>
      <c r="D149" s="14">
        <v>0</v>
      </c>
      <c r="E149" s="14">
        <v>0</v>
      </c>
      <c r="F149" s="14">
        <v>3</v>
      </c>
      <c r="G149" s="14">
        <v>0</v>
      </c>
      <c r="H149" s="14">
        <v>2</v>
      </c>
      <c r="I149" s="14">
        <v>0</v>
      </c>
      <c r="J149" s="14">
        <v>1</v>
      </c>
      <c r="K149" s="14">
        <v>0</v>
      </c>
      <c r="L149" s="14">
        <v>3</v>
      </c>
      <c r="M149" s="14">
        <v>0</v>
      </c>
      <c r="N149" s="14">
        <v>3</v>
      </c>
      <c r="O149" s="14">
        <v>0</v>
      </c>
      <c r="P149" s="14">
        <v>3</v>
      </c>
      <c r="Q149" s="14">
        <v>0</v>
      </c>
      <c r="R149" s="14">
        <v>2</v>
      </c>
      <c r="S149" s="14">
        <v>0</v>
      </c>
      <c r="T149" s="14">
        <v>3</v>
      </c>
      <c r="U149" s="14">
        <v>0</v>
      </c>
      <c r="V149" s="14">
        <v>2</v>
      </c>
      <c r="W149" s="14">
        <v>0</v>
      </c>
      <c r="X149" s="113">
        <v>0</v>
      </c>
      <c r="Y149" s="14">
        <f t="shared" si="39"/>
        <v>0</v>
      </c>
      <c r="Z149" s="14">
        <f t="shared" si="40"/>
        <v>22</v>
      </c>
      <c r="AA149" s="13" t="s">
        <v>166</v>
      </c>
      <c r="AB149" s="161"/>
      <c r="AC149" s="162"/>
      <c r="AD149" s="16">
        <f t="shared" si="41"/>
        <v>0</v>
      </c>
      <c r="AE149" s="17"/>
      <c r="AF149" s="2"/>
      <c r="AG149" s="2"/>
      <c r="AH149" s="2"/>
      <c r="AI149" s="2"/>
      <c r="AJ149" s="2"/>
      <c r="AK149" s="87"/>
      <c r="AL149" s="87"/>
    </row>
    <row r="150" spans="1:40" s="47" customFormat="1" x14ac:dyDescent="2.35">
      <c r="A150" s="12"/>
      <c r="B150" s="13" t="s">
        <v>167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13">
        <v>0</v>
      </c>
      <c r="Y150" s="14">
        <f t="shared" si="39"/>
        <v>0</v>
      </c>
      <c r="Z150" s="14">
        <f t="shared" si="40"/>
        <v>0</v>
      </c>
      <c r="AA150" s="13" t="s">
        <v>167</v>
      </c>
      <c r="AB150" s="161"/>
      <c r="AC150" s="162"/>
      <c r="AD150" s="16">
        <f t="shared" si="41"/>
        <v>0</v>
      </c>
      <c r="AE150" s="17"/>
      <c r="AF150" s="2"/>
      <c r="AG150" s="2"/>
      <c r="AH150" s="2"/>
      <c r="AI150" s="2"/>
      <c r="AJ150" s="2"/>
      <c r="AK150" s="87"/>
      <c r="AL150" s="87"/>
    </row>
    <row r="151" spans="1:40" s="47" customFormat="1" x14ac:dyDescent="2.35">
      <c r="A151" s="12"/>
      <c r="B151" s="13" t="s">
        <v>168</v>
      </c>
      <c r="C151" s="14">
        <v>2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1</v>
      </c>
      <c r="V151" s="14">
        <v>0</v>
      </c>
      <c r="W151" s="14">
        <v>0</v>
      </c>
      <c r="X151" s="113">
        <v>89100</v>
      </c>
      <c r="Y151" s="14">
        <f t="shared" si="39"/>
        <v>3</v>
      </c>
      <c r="Z151" s="14">
        <f t="shared" si="40"/>
        <v>0</v>
      </c>
      <c r="AA151" s="13" t="s">
        <v>169</v>
      </c>
      <c r="AB151" s="161"/>
      <c r="AC151" s="162"/>
      <c r="AD151" s="16">
        <f t="shared" si="41"/>
        <v>89100</v>
      </c>
      <c r="AE151" s="17"/>
      <c r="AF151" s="2"/>
      <c r="AG151" s="2"/>
      <c r="AH151" s="2"/>
      <c r="AI151" s="2"/>
      <c r="AJ151" s="2"/>
      <c r="AK151" s="87"/>
      <c r="AL151" s="87"/>
    </row>
    <row r="152" spans="1:40" s="47" customFormat="1" ht="116.25" customHeight="1" x14ac:dyDescent="2.35">
      <c r="A152" s="12"/>
      <c r="B152" s="13" t="s">
        <v>170</v>
      </c>
      <c r="C152" s="14">
        <v>0</v>
      </c>
      <c r="D152" s="14">
        <v>1</v>
      </c>
      <c r="E152" s="14">
        <v>0</v>
      </c>
      <c r="F152" s="14">
        <v>2</v>
      </c>
      <c r="G152" s="14">
        <v>1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2</v>
      </c>
      <c r="O152" s="14">
        <v>1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1</v>
      </c>
      <c r="W152" s="14">
        <v>0</v>
      </c>
      <c r="X152" s="113">
        <v>110300</v>
      </c>
      <c r="Y152" s="14">
        <f t="shared" si="39"/>
        <v>2</v>
      </c>
      <c r="Z152" s="14">
        <f t="shared" si="40"/>
        <v>6</v>
      </c>
      <c r="AA152" s="13" t="s">
        <v>170</v>
      </c>
      <c r="AB152" s="163"/>
      <c r="AC152" s="164"/>
      <c r="AD152" s="16">
        <f t="shared" si="41"/>
        <v>110300</v>
      </c>
      <c r="AE152" s="17"/>
      <c r="AF152" s="2"/>
      <c r="AG152" s="2"/>
      <c r="AH152" s="2"/>
      <c r="AI152" s="2"/>
      <c r="AJ152" s="2"/>
      <c r="AK152" s="90"/>
      <c r="AL152" s="90"/>
      <c r="AM152" s="91"/>
      <c r="AN152" s="88"/>
    </row>
    <row r="153" spans="1:40" s="12" customFormat="1" ht="113.25" customHeight="1" x14ac:dyDescent="2.1">
      <c r="B153" s="13"/>
      <c r="C153" s="30">
        <f t="shared" ref="C153:W153" si="42">SUM(C142:C152)</f>
        <v>3</v>
      </c>
      <c r="D153" s="30">
        <f t="shared" si="42"/>
        <v>3</v>
      </c>
      <c r="E153" s="30">
        <f t="shared" si="42"/>
        <v>1</v>
      </c>
      <c r="F153" s="30">
        <f t="shared" si="42"/>
        <v>9</v>
      </c>
      <c r="G153" s="30">
        <f t="shared" si="42"/>
        <v>2</v>
      </c>
      <c r="H153" s="30">
        <f t="shared" si="42"/>
        <v>7</v>
      </c>
      <c r="I153" s="30">
        <f t="shared" si="42"/>
        <v>0</v>
      </c>
      <c r="J153" s="30">
        <f t="shared" si="42"/>
        <v>2</v>
      </c>
      <c r="K153" s="30">
        <f t="shared" si="42"/>
        <v>0</v>
      </c>
      <c r="L153" s="30">
        <f t="shared" si="42"/>
        <v>13</v>
      </c>
      <c r="M153" s="30">
        <f t="shared" si="42"/>
        <v>1</v>
      </c>
      <c r="N153" s="30">
        <f t="shared" si="42"/>
        <v>12</v>
      </c>
      <c r="O153" s="30">
        <f t="shared" si="42"/>
        <v>1</v>
      </c>
      <c r="P153" s="30">
        <f t="shared" si="42"/>
        <v>9</v>
      </c>
      <c r="Q153" s="30">
        <f t="shared" si="42"/>
        <v>8</v>
      </c>
      <c r="R153" s="30">
        <f t="shared" si="42"/>
        <v>5</v>
      </c>
      <c r="S153" s="30">
        <f t="shared" si="42"/>
        <v>0</v>
      </c>
      <c r="T153" s="30">
        <f t="shared" si="42"/>
        <v>13</v>
      </c>
      <c r="U153" s="30">
        <f t="shared" si="42"/>
        <v>1</v>
      </c>
      <c r="V153" s="30">
        <f t="shared" si="42"/>
        <v>4</v>
      </c>
      <c r="W153" s="30">
        <f t="shared" si="42"/>
        <v>0</v>
      </c>
      <c r="X153" s="114"/>
      <c r="Y153" s="14"/>
      <c r="Z153" s="14"/>
      <c r="AA153" s="13"/>
      <c r="AB153" s="154"/>
      <c r="AC153" s="155"/>
      <c r="AD153" s="16">
        <v>0</v>
      </c>
      <c r="AE153" s="17"/>
      <c r="AF153" s="2"/>
      <c r="AG153" s="2"/>
      <c r="AH153" s="2"/>
      <c r="AI153" s="2"/>
      <c r="AJ153" s="2"/>
      <c r="AK153" s="92"/>
      <c r="AL153" s="92"/>
    </row>
    <row r="154" spans="1:40" ht="126" customHeight="1" x14ac:dyDescent="1.85">
      <c r="B154" s="174" t="s">
        <v>215</v>
      </c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"/>
      <c r="AK154" s="92"/>
      <c r="AL154" s="92"/>
    </row>
    <row r="155" spans="1:40" s="88" customFormat="1" ht="138.75" customHeight="1" x14ac:dyDescent="2.35">
      <c r="A155"/>
      <c r="B155" s="172" t="s">
        <v>171</v>
      </c>
      <c r="C155" s="142" t="s">
        <v>2</v>
      </c>
      <c r="D155" s="143"/>
      <c r="E155" s="142" t="s">
        <v>3</v>
      </c>
      <c r="F155" s="143"/>
      <c r="G155" s="142" t="s">
        <v>4</v>
      </c>
      <c r="H155" s="143"/>
      <c r="I155" s="142" t="s">
        <v>5</v>
      </c>
      <c r="J155" s="143"/>
      <c r="K155" s="142" t="s">
        <v>6</v>
      </c>
      <c r="L155" s="143"/>
      <c r="M155" s="142" t="s">
        <v>8</v>
      </c>
      <c r="N155" s="143"/>
      <c r="O155" s="142" t="s">
        <v>9</v>
      </c>
      <c r="P155" s="143"/>
      <c r="Q155" s="142" t="s">
        <v>10</v>
      </c>
      <c r="R155" s="143"/>
      <c r="S155" s="142" t="s">
        <v>11</v>
      </c>
      <c r="T155" s="143"/>
      <c r="U155" s="142" t="s">
        <v>12</v>
      </c>
      <c r="V155" s="143"/>
      <c r="W155" s="172" t="s">
        <v>13</v>
      </c>
      <c r="X155" s="111"/>
      <c r="Y155" s="172" t="s">
        <v>14</v>
      </c>
      <c r="Z155" s="172" t="s">
        <v>15</v>
      </c>
      <c r="AA155" s="172" t="s">
        <v>171</v>
      </c>
      <c r="AB155" s="157"/>
      <c r="AC155" s="158"/>
      <c r="AD155" s="6" t="s">
        <v>17</v>
      </c>
      <c r="AE155" s="7"/>
      <c r="AF155" s="2"/>
      <c r="AG155" s="2"/>
      <c r="AH155" s="2"/>
      <c r="AI155" s="2"/>
      <c r="AJ155" s="2"/>
      <c r="AK155" s="8"/>
      <c r="AL155" s="8"/>
      <c r="AM155" s="12"/>
      <c r="AN155" s="12"/>
    </row>
    <row r="156" spans="1:40" s="4" customFormat="1" ht="138" customHeight="1" x14ac:dyDescent="2.35">
      <c r="B156" s="173"/>
      <c r="C156" s="9" t="s">
        <v>18</v>
      </c>
      <c r="D156" s="9" t="s">
        <v>19</v>
      </c>
      <c r="E156" s="9" t="s">
        <v>18</v>
      </c>
      <c r="F156" s="9" t="s">
        <v>19</v>
      </c>
      <c r="G156" s="9" t="s">
        <v>18</v>
      </c>
      <c r="H156" s="9" t="s">
        <v>19</v>
      </c>
      <c r="I156" s="9" t="s">
        <v>18</v>
      </c>
      <c r="J156" s="9" t="s">
        <v>19</v>
      </c>
      <c r="K156" s="9" t="s">
        <v>18</v>
      </c>
      <c r="L156" s="9" t="s">
        <v>19</v>
      </c>
      <c r="M156" s="9" t="s">
        <v>18</v>
      </c>
      <c r="N156" s="9" t="s">
        <v>19</v>
      </c>
      <c r="O156" s="9" t="s">
        <v>18</v>
      </c>
      <c r="P156" s="9" t="s">
        <v>19</v>
      </c>
      <c r="Q156" s="9" t="s">
        <v>18</v>
      </c>
      <c r="R156" s="9" t="s">
        <v>19</v>
      </c>
      <c r="S156" s="9" t="s">
        <v>18</v>
      </c>
      <c r="T156" s="9" t="s">
        <v>19</v>
      </c>
      <c r="U156" s="9" t="s">
        <v>18</v>
      </c>
      <c r="V156" s="9" t="s">
        <v>19</v>
      </c>
      <c r="W156" s="173"/>
      <c r="X156" s="112"/>
      <c r="Y156" s="173"/>
      <c r="Z156" s="173"/>
      <c r="AA156" s="173"/>
      <c r="AB156" s="10"/>
      <c r="AC156" s="11"/>
      <c r="AD156" s="6">
        <v>0</v>
      </c>
      <c r="AE156" s="7"/>
      <c r="AF156" s="2"/>
      <c r="AG156" s="2"/>
      <c r="AH156" s="2"/>
      <c r="AI156" s="2"/>
      <c r="AJ156" s="2"/>
      <c r="AK156" s="8"/>
      <c r="AL156" s="8"/>
    </row>
    <row r="157" spans="1:40" s="12" customFormat="1" ht="110.25" customHeight="1" x14ac:dyDescent="2.35">
      <c r="B157" s="13" t="s">
        <v>172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13">
        <v>0</v>
      </c>
      <c r="Y157" s="14">
        <f t="shared" ref="Y157:Y162" si="43">SUM(C157,E157,G157,I157,K157,,M157,O157,Q157,S157,U157,W157)</f>
        <v>0</v>
      </c>
      <c r="Z157" s="14">
        <f t="shared" ref="Z157:Z162" si="44">SUM(D157,F157,H157,J157,L157,,N157,P157,R157,T157,V157)</f>
        <v>0</v>
      </c>
      <c r="AA157" s="13" t="s">
        <v>173</v>
      </c>
      <c r="AB157" s="159">
        <f>SUM(Y157:Y162)</f>
        <v>8</v>
      </c>
      <c r="AC157" s="160"/>
      <c r="AD157" s="16">
        <f>X157</f>
        <v>0</v>
      </c>
      <c r="AE157" s="17"/>
      <c r="AF157" s="2"/>
      <c r="AG157" s="2"/>
      <c r="AH157" s="2"/>
      <c r="AI157" s="2"/>
      <c r="AJ157" s="2"/>
      <c r="AK157" s="8"/>
      <c r="AL157" s="8"/>
    </row>
    <row r="158" spans="1:40" s="12" customFormat="1" ht="110.25" customHeight="1" x14ac:dyDescent="2.35">
      <c r="B158" s="13" t="s">
        <v>174</v>
      </c>
      <c r="C158" s="14">
        <v>0</v>
      </c>
      <c r="D158" s="14">
        <v>0</v>
      </c>
      <c r="E158" s="14">
        <v>1</v>
      </c>
      <c r="F158" s="14">
        <v>0</v>
      </c>
      <c r="G158" s="14">
        <v>0</v>
      </c>
      <c r="H158" s="14">
        <v>1</v>
      </c>
      <c r="I158" s="14">
        <v>1</v>
      </c>
      <c r="J158" s="14">
        <v>0</v>
      </c>
      <c r="K158" s="14">
        <v>0</v>
      </c>
      <c r="L158" s="14">
        <v>0</v>
      </c>
      <c r="M158" s="14">
        <v>0</v>
      </c>
      <c r="N158" s="14">
        <v>1</v>
      </c>
      <c r="O158" s="14">
        <v>3</v>
      </c>
      <c r="P158" s="14">
        <v>0</v>
      </c>
      <c r="Q158" s="14">
        <v>0</v>
      </c>
      <c r="R158" s="14">
        <v>0</v>
      </c>
      <c r="S158" s="14">
        <v>0</v>
      </c>
      <c r="T158" s="14">
        <v>1</v>
      </c>
      <c r="U158" s="14">
        <v>0</v>
      </c>
      <c r="V158" s="14">
        <v>0</v>
      </c>
      <c r="W158" s="14">
        <v>0</v>
      </c>
      <c r="X158" s="113">
        <v>194900</v>
      </c>
      <c r="Y158" s="14">
        <f t="shared" si="43"/>
        <v>5</v>
      </c>
      <c r="Z158" s="14">
        <f t="shared" si="44"/>
        <v>3</v>
      </c>
      <c r="AA158" s="13" t="s">
        <v>174</v>
      </c>
      <c r="AB158" s="161"/>
      <c r="AC158" s="162"/>
      <c r="AD158" s="16">
        <f t="shared" ref="AD158:AD162" si="45">X158</f>
        <v>194900</v>
      </c>
      <c r="AE158" s="17"/>
      <c r="AF158" s="2"/>
      <c r="AG158" s="2"/>
      <c r="AH158" s="2"/>
      <c r="AI158" s="2"/>
      <c r="AJ158" s="2"/>
      <c r="AK158" s="8"/>
      <c r="AL158" s="8"/>
    </row>
    <row r="159" spans="1:40" s="12" customFormat="1" ht="110.25" customHeight="1" x14ac:dyDescent="2.35">
      <c r="B159" s="13" t="s">
        <v>175</v>
      </c>
      <c r="C159" s="14">
        <v>0</v>
      </c>
      <c r="D159" s="14">
        <v>1</v>
      </c>
      <c r="E159" s="14">
        <v>0</v>
      </c>
      <c r="F159" s="14">
        <v>2</v>
      </c>
      <c r="G159" s="14">
        <v>0</v>
      </c>
      <c r="H159" s="14">
        <v>1</v>
      </c>
      <c r="I159" s="14">
        <v>0</v>
      </c>
      <c r="J159" s="14">
        <v>1</v>
      </c>
      <c r="K159" s="14">
        <v>0</v>
      </c>
      <c r="L159" s="14">
        <v>0</v>
      </c>
      <c r="M159" s="14">
        <v>0</v>
      </c>
      <c r="N159" s="14">
        <v>1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</v>
      </c>
      <c r="V159" s="14">
        <v>0</v>
      </c>
      <c r="W159" s="14">
        <v>0</v>
      </c>
      <c r="X159" s="113">
        <v>38200</v>
      </c>
      <c r="Y159" s="14">
        <f t="shared" si="43"/>
        <v>1</v>
      </c>
      <c r="Z159" s="14">
        <f t="shared" si="44"/>
        <v>6</v>
      </c>
      <c r="AA159" s="13" t="s">
        <v>175</v>
      </c>
      <c r="AB159" s="161"/>
      <c r="AC159" s="162"/>
      <c r="AD159" s="16">
        <f t="shared" si="45"/>
        <v>38200</v>
      </c>
      <c r="AE159" s="17"/>
      <c r="AF159" s="2"/>
      <c r="AG159" s="2"/>
      <c r="AH159" s="2"/>
      <c r="AI159" s="2"/>
      <c r="AJ159" s="2"/>
      <c r="AK159" s="8"/>
      <c r="AL159" s="8"/>
    </row>
    <row r="160" spans="1:40" s="12" customFormat="1" ht="110.25" customHeight="1" x14ac:dyDescent="2.35">
      <c r="B160" s="13" t="s">
        <v>176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13">
        <v>0</v>
      </c>
      <c r="Y160" s="14">
        <f t="shared" si="43"/>
        <v>0</v>
      </c>
      <c r="Z160" s="14">
        <f t="shared" si="44"/>
        <v>0</v>
      </c>
      <c r="AA160" s="13" t="s">
        <v>176</v>
      </c>
      <c r="AB160" s="161"/>
      <c r="AC160" s="162"/>
      <c r="AD160" s="16">
        <f t="shared" si="45"/>
        <v>0</v>
      </c>
      <c r="AE160" s="17"/>
      <c r="AF160" s="2"/>
      <c r="AG160" s="2"/>
      <c r="AH160" s="2"/>
      <c r="AI160" s="2"/>
      <c r="AJ160" s="2"/>
      <c r="AK160" s="8"/>
      <c r="AL160" s="8"/>
    </row>
    <row r="161" spans="2:40" s="12" customFormat="1" ht="110.25" customHeight="1" x14ac:dyDescent="2.35">
      <c r="B161" s="13" t="s">
        <v>177</v>
      </c>
      <c r="C161" s="14">
        <v>1</v>
      </c>
      <c r="D161" s="14">
        <v>4</v>
      </c>
      <c r="E161" s="14">
        <v>0</v>
      </c>
      <c r="F161" s="14">
        <v>4</v>
      </c>
      <c r="G161" s="14">
        <v>0</v>
      </c>
      <c r="H161" s="14">
        <v>3</v>
      </c>
      <c r="I161" s="14">
        <v>1</v>
      </c>
      <c r="J161" s="14">
        <v>3</v>
      </c>
      <c r="K161" s="14">
        <v>0</v>
      </c>
      <c r="L161" s="14">
        <v>3</v>
      </c>
      <c r="M161" s="14">
        <v>0</v>
      </c>
      <c r="N161" s="14">
        <v>10</v>
      </c>
      <c r="O161" s="14">
        <v>0</v>
      </c>
      <c r="P161" s="14">
        <v>2</v>
      </c>
      <c r="Q161" s="14">
        <v>0</v>
      </c>
      <c r="R161" s="14">
        <v>1</v>
      </c>
      <c r="S161" s="14">
        <v>0</v>
      </c>
      <c r="T161" s="14">
        <v>4</v>
      </c>
      <c r="U161" s="14">
        <v>0</v>
      </c>
      <c r="V161" s="14">
        <v>4</v>
      </c>
      <c r="W161" s="14">
        <v>0</v>
      </c>
      <c r="X161" s="113">
        <v>20600</v>
      </c>
      <c r="Y161" s="14">
        <f t="shared" si="43"/>
        <v>2</v>
      </c>
      <c r="Z161" s="14">
        <f t="shared" si="44"/>
        <v>38</v>
      </c>
      <c r="AA161" s="13" t="s">
        <v>177</v>
      </c>
      <c r="AB161" s="161"/>
      <c r="AC161" s="162"/>
      <c r="AD161" s="16">
        <f t="shared" si="45"/>
        <v>20600</v>
      </c>
      <c r="AE161" s="17"/>
      <c r="AF161" s="2"/>
      <c r="AG161" s="2"/>
      <c r="AH161" s="2"/>
      <c r="AI161" s="2"/>
      <c r="AJ161" s="2"/>
      <c r="AK161" s="8"/>
      <c r="AL161" s="8"/>
    </row>
    <row r="162" spans="2:40" s="12" customFormat="1" ht="110.25" customHeight="1" x14ac:dyDescent="2.35">
      <c r="B162" s="13" t="s">
        <v>178</v>
      </c>
      <c r="C162" s="14">
        <v>0</v>
      </c>
      <c r="D162" s="14">
        <v>3</v>
      </c>
      <c r="E162" s="14">
        <v>0</v>
      </c>
      <c r="F162" s="14">
        <v>3</v>
      </c>
      <c r="G162" s="14">
        <v>0</v>
      </c>
      <c r="H162" s="14">
        <v>3</v>
      </c>
      <c r="I162" s="14">
        <v>0</v>
      </c>
      <c r="J162" s="14">
        <v>4</v>
      </c>
      <c r="K162" s="14">
        <v>0</v>
      </c>
      <c r="L162" s="14">
        <v>3</v>
      </c>
      <c r="M162" s="14">
        <v>0</v>
      </c>
      <c r="N162" s="14">
        <v>4</v>
      </c>
      <c r="O162" s="14">
        <v>0</v>
      </c>
      <c r="P162" s="14">
        <v>3</v>
      </c>
      <c r="Q162" s="14">
        <v>0</v>
      </c>
      <c r="R162" s="14">
        <v>2</v>
      </c>
      <c r="S162" s="14">
        <v>0</v>
      </c>
      <c r="T162" s="14">
        <v>3</v>
      </c>
      <c r="U162" s="14">
        <v>0</v>
      </c>
      <c r="V162" s="14">
        <v>2</v>
      </c>
      <c r="W162" s="14">
        <v>0</v>
      </c>
      <c r="X162" s="113">
        <v>0</v>
      </c>
      <c r="Y162" s="14">
        <f t="shared" si="43"/>
        <v>0</v>
      </c>
      <c r="Z162" s="14">
        <f t="shared" si="44"/>
        <v>30</v>
      </c>
      <c r="AA162" s="13" t="s">
        <v>178</v>
      </c>
      <c r="AB162" s="163"/>
      <c r="AC162" s="164"/>
      <c r="AD162" s="16">
        <f t="shared" si="45"/>
        <v>0</v>
      </c>
      <c r="AE162" s="17"/>
      <c r="AF162" s="2"/>
      <c r="AG162" s="2"/>
      <c r="AH162" s="2"/>
      <c r="AI162" s="2"/>
      <c r="AJ162" s="2"/>
      <c r="AK162" s="3"/>
      <c r="AL162" s="3"/>
      <c r="AM162" s="2"/>
      <c r="AN162" s="2"/>
    </row>
    <row r="163" spans="2:40" s="2" customFormat="1" ht="123.75" customHeight="1" thickBot="1" x14ac:dyDescent="2.4">
      <c r="B163" s="79" t="s">
        <v>179</v>
      </c>
      <c r="C163" s="142" t="s">
        <v>2</v>
      </c>
      <c r="D163" s="143"/>
      <c r="E163" s="142" t="s">
        <v>3</v>
      </c>
      <c r="F163" s="143"/>
      <c r="G163" s="142" t="s">
        <v>4</v>
      </c>
      <c r="H163" s="143"/>
      <c r="I163" s="142" t="s">
        <v>5</v>
      </c>
      <c r="J163" s="143"/>
      <c r="K163" s="142" t="s">
        <v>6</v>
      </c>
      <c r="L163" s="143"/>
      <c r="M163" s="142" t="s">
        <v>8</v>
      </c>
      <c r="N163" s="143"/>
      <c r="O163" s="142" t="s">
        <v>9</v>
      </c>
      <c r="P163" s="143"/>
      <c r="Q163" s="142" t="s">
        <v>10</v>
      </c>
      <c r="R163" s="143"/>
      <c r="S163" s="142" t="s">
        <v>11</v>
      </c>
      <c r="T163" s="143"/>
      <c r="U163" s="142" t="s">
        <v>12</v>
      </c>
      <c r="V163" s="143"/>
      <c r="W163" s="9" t="s">
        <v>13</v>
      </c>
      <c r="X163" s="118"/>
      <c r="Y163" s="146" t="s">
        <v>14</v>
      </c>
      <c r="Z163" s="147"/>
      <c r="AA163" s="79" t="s">
        <v>179</v>
      </c>
      <c r="AB163" s="148"/>
      <c r="AC163" s="149"/>
      <c r="AD163" s="6" t="s">
        <v>17</v>
      </c>
      <c r="AE163" s="7"/>
      <c r="AF163" s="93"/>
      <c r="AG163" s="93"/>
      <c r="AK163" s="8"/>
      <c r="AL163" s="8"/>
      <c r="AM163" s="12"/>
      <c r="AN163" s="12"/>
    </row>
    <row r="164" spans="2:40" s="12" customFormat="1" ht="123.75" customHeight="1" x14ac:dyDescent="2.35">
      <c r="B164" s="13" t="s">
        <v>180</v>
      </c>
      <c r="C164" s="19">
        <v>0</v>
      </c>
      <c r="D164" s="20"/>
      <c r="E164" s="19">
        <v>3</v>
      </c>
      <c r="F164" s="20"/>
      <c r="G164" s="19">
        <v>1</v>
      </c>
      <c r="H164" s="20"/>
      <c r="I164" s="19">
        <v>0</v>
      </c>
      <c r="J164" s="20"/>
      <c r="K164" s="19">
        <v>0</v>
      </c>
      <c r="L164" s="20"/>
      <c r="M164" s="19">
        <v>2</v>
      </c>
      <c r="N164" s="20"/>
      <c r="O164" s="19">
        <v>1</v>
      </c>
      <c r="P164" s="20"/>
      <c r="Q164" s="19">
        <v>0</v>
      </c>
      <c r="R164" s="20"/>
      <c r="S164" s="19">
        <v>1</v>
      </c>
      <c r="T164" s="20"/>
      <c r="U164" s="19">
        <v>2</v>
      </c>
      <c r="V164" s="20"/>
      <c r="W164" s="14">
        <v>0</v>
      </c>
      <c r="X164" s="121">
        <v>113000</v>
      </c>
      <c r="Y164" s="130">
        <f t="shared" ref="Y164:Y187" si="46">SUM(C164:W164)</f>
        <v>10</v>
      </c>
      <c r="Z164" s="131"/>
      <c r="AA164" s="13" t="s">
        <v>180</v>
      </c>
      <c r="AB164" s="159">
        <f>SUM(Y164:Y171)</f>
        <v>90</v>
      </c>
      <c r="AC164" s="160"/>
      <c r="AD164" s="16">
        <f>X164</f>
        <v>113000</v>
      </c>
      <c r="AE164" s="94"/>
      <c r="AF164" s="165" t="s">
        <v>181</v>
      </c>
      <c r="AG164" s="166"/>
      <c r="AH164" s="166"/>
      <c r="AI164" s="166"/>
      <c r="AJ164" s="167"/>
      <c r="AK164" s="8"/>
      <c r="AL164" s="8"/>
    </row>
    <row r="165" spans="2:40" s="12" customFormat="1" ht="123.75" customHeight="1" x14ac:dyDescent="2.35">
      <c r="B165" s="13" t="s">
        <v>182</v>
      </c>
      <c r="C165" s="19">
        <v>0</v>
      </c>
      <c r="D165" s="20"/>
      <c r="E165" s="19">
        <v>0</v>
      </c>
      <c r="F165" s="20"/>
      <c r="G165" s="19">
        <v>0</v>
      </c>
      <c r="H165" s="20"/>
      <c r="I165" s="19">
        <v>0</v>
      </c>
      <c r="J165" s="20"/>
      <c r="K165" s="19">
        <v>0</v>
      </c>
      <c r="L165" s="20"/>
      <c r="M165" s="19">
        <v>0</v>
      </c>
      <c r="N165" s="20"/>
      <c r="O165" s="19">
        <v>0</v>
      </c>
      <c r="P165" s="20"/>
      <c r="Q165" s="19">
        <v>0</v>
      </c>
      <c r="R165" s="20"/>
      <c r="S165" s="19">
        <v>0</v>
      </c>
      <c r="T165" s="20"/>
      <c r="U165" s="19">
        <v>0</v>
      </c>
      <c r="V165" s="20"/>
      <c r="W165" s="14">
        <v>0</v>
      </c>
      <c r="X165" s="121">
        <v>0</v>
      </c>
      <c r="Y165" s="130">
        <f t="shared" si="46"/>
        <v>0</v>
      </c>
      <c r="Z165" s="131"/>
      <c r="AA165" s="13" t="s">
        <v>182</v>
      </c>
      <c r="AB165" s="161"/>
      <c r="AC165" s="162"/>
      <c r="AD165" s="16">
        <f t="shared" ref="AD165:AD170" si="47">X165</f>
        <v>0</v>
      </c>
      <c r="AE165" s="94"/>
      <c r="AF165" s="168"/>
      <c r="AG165" s="169"/>
      <c r="AH165" s="169"/>
      <c r="AI165" s="169"/>
      <c r="AJ165" s="170"/>
      <c r="AK165" s="8"/>
      <c r="AL165" s="8"/>
    </row>
    <row r="166" spans="2:40" s="12" customFormat="1" ht="123.75" customHeight="1" x14ac:dyDescent="2.35">
      <c r="B166" s="13" t="s">
        <v>183</v>
      </c>
      <c r="C166" s="19">
        <v>0</v>
      </c>
      <c r="D166" s="20"/>
      <c r="E166" s="19">
        <v>6</v>
      </c>
      <c r="F166" s="20"/>
      <c r="G166" s="19">
        <v>0</v>
      </c>
      <c r="H166" s="20"/>
      <c r="I166" s="19">
        <v>3</v>
      </c>
      <c r="J166" s="20"/>
      <c r="K166" s="19">
        <v>0</v>
      </c>
      <c r="L166" s="20"/>
      <c r="M166" s="19">
        <v>4</v>
      </c>
      <c r="N166" s="20"/>
      <c r="O166" s="19">
        <v>0</v>
      </c>
      <c r="P166" s="20"/>
      <c r="Q166" s="19">
        <v>0</v>
      </c>
      <c r="R166" s="20"/>
      <c r="S166" s="19">
        <v>4</v>
      </c>
      <c r="T166" s="20"/>
      <c r="U166" s="19">
        <v>1</v>
      </c>
      <c r="V166" s="20"/>
      <c r="W166" s="14">
        <v>0</v>
      </c>
      <c r="X166" s="121">
        <v>198000</v>
      </c>
      <c r="Y166" s="130">
        <f t="shared" si="46"/>
        <v>18</v>
      </c>
      <c r="Z166" s="131"/>
      <c r="AA166" s="13" t="s">
        <v>183</v>
      </c>
      <c r="AB166" s="161"/>
      <c r="AC166" s="162"/>
      <c r="AD166" s="16">
        <f t="shared" si="47"/>
        <v>198000</v>
      </c>
      <c r="AE166" s="94"/>
      <c r="AF166" s="168"/>
      <c r="AG166" s="169"/>
      <c r="AH166" s="169"/>
      <c r="AI166" s="169"/>
      <c r="AJ166" s="170"/>
      <c r="AK166" s="8"/>
      <c r="AL166" s="8"/>
    </row>
    <row r="167" spans="2:40" s="12" customFormat="1" ht="123.75" customHeight="1" x14ac:dyDescent="2.35">
      <c r="B167" s="13" t="s">
        <v>184</v>
      </c>
      <c r="C167" s="19">
        <v>6</v>
      </c>
      <c r="D167" s="20"/>
      <c r="E167" s="19">
        <v>11</v>
      </c>
      <c r="F167" s="20"/>
      <c r="G167" s="19">
        <v>3</v>
      </c>
      <c r="H167" s="20"/>
      <c r="I167" s="19">
        <v>5</v>
      </c>
      <c r="J167" s="20"/>
      <c r="K167" s="19">
        <v>3</v>
      </c>
      <c r="L167" s="20"/>
      <c r="M167" s="19">
        <v>19</v>
      </c>
      <c r="N167" s="20"/>
      <c r="O167" s="19">
        <v>0</v>
      </c>
      <c r="P167" s="20"/>
      <c r="Q167" s="19">
        <v>2</v>
      </c>
      <c r="R167" s="20"/>
      <c r="S167" s="19">
        <v>5</v>
      </c>
      <c r="T167" s="20"/>
      <c r="U167" s="19">
        <v>8</v>
      </c>
      <c r="V167" s="20"/>
      <c r="W167" s="14">
        <v>0</v>
      </c>
      <c r="X167" s="121">
        <v>502200</v>
      </c>
      <c r="Y167" s="130">
        <f t="shared" si="46"/>
        <v>62</v>
      </c>
      <c r="Z167" s="131"/>
      <c r="AA167" s="13" t="s">
        <v>184</v>
      </c>
      <c r="AB167" s="161"/>
      <c r="AC167" s="162"/>
      <c r="AD167" s="16">
        <f t="shared" si="47"/>
        <v>502200</v>
      </c>
      <c r="AE167" s="94"/>
      <c r="AF167" s="168"/>
      <c r="AG167" s="169"/>
      <c r="AH167" s="169"/>
      <c r="AI167" s="169"/>
      <c r="AJ167" s="170"/>
      <c r="AK167" s="8"/>
      <c r="AL167" s="8"/>
    </row>
    <row r="168" spans="2:40" s="12" customFormat="1" ht="123.75" hidden="1" customHeight="1" x14ac:dyDescent="2.35">
      <c r="B168" s="13" t="s">
        <v>185</v>
      </c>
      <c r="C168" s="19">
        <v>0</v>
      </c>
      <c r="D168" s="20"/>
      <c r="E168" s="19">
        <v>0</v>
      </c>
      <c r="F168" s="20"/>
      <c r="G168" s="19">
        <v>0</v>
      </c>
      <c r="H168" s="20"/>
      <c r="I168" s="19">
        <v>0</v>
      </c>
      <c r="J168" s="20"/>
      <c r="K168" s="19">
        <v>0</v>
      </c>
      <c r="L168" s="20"/>
      <c r="M168" s="19">
        <v>0</v>
      </c>
      <c r="N168" s="20"/>
      <c r="O168" s="19">
        <v>0</v>
      </c>
      <c r="P168" s="20"/>
      <c r="Q168" s="19">
        <v>0</v>
      </c>
      <c r="R168" s="20"/>
      <c r="S168" s="19">
        <v>0</v>
      </c>
      <c r="T168" s="20"/>
      <c r="U168" s="19">
        <v>0</v>
      </c>
      <c r="V168" s="20"/>
      <c r="W168" s="14">
        <v>0</v>
      </c>
      <c r="X168" s="121">
        <v>0</v>
      </c>
      <c r="Y168" s="130">
        <f t="shared" si="46"/>
        <v>0</v>
      </c>
      <c r="Z168" s="131"/>
      <c r="AA168" s="13" t="s">
        <v>185</v>
      </c>
      <c r="AB168" s="161"/>
      <c r="AC168" s="162"/>
      <c r="AD168" s="16">
        <f t="shared" si="47"/>
        <v>0</v>
      </c>
      <c r="AE168" s="94"/>
      <c r="AF168" s="171">
        <f>SUM(AD164:AD171)</f>
        <v>813200</v>
      </c>
      <c r="AG168" s="169"/>
      <c r="AH168" s="169"/>
      <c r="AI168" s="169"/>
      <c r="AJ168" s="170"/>
      <c r="AK168" s="8"/>
      <c r="AL168" s="8"/>
    </row>
    <row r="169" spans="2:40" s="12" customFormat="1" ht="123.75" hidden="1" customHeight="1" x14ac:dyDescent="2.35">
      <c r="B169" s="13" t="s">
        <v>186</v>
      </c>
      <c r="C169" s="19">
        <v>0</v>
      </c>
      <c r="D169" s="20"/>
      <c r="E169" s="19">
        <v>0</v>
      </c>
      <c r="F169" s="20"/>
      <c r="G169" s="19">
        <v>0</v>
      </c>
      <c r="H169" s="20"/>
      <c r="I169" s="19">
        <v>0</v>
      </c>
      <c r="J169" s="20"/>
      <c r="K169" s="19">
        <v>0</v>
      </c>
      <c r="L169" s="20"/>
      <c r="M169" s="19">
        <v>0</v>
      </c>
      <c r="N169" s="20"/>
      <c r="O169" s="19">
        <v>0</v>
      </c>
      <c r="P169" s="20"/>
      <c r="Q169" s="19">
        <v>0</v>
      </c>
      <c r="R169" s="20"/>
      <c r="S169" s="19">
        <v>0</v>
      </c>
      <c r="T169" s="20"/>
      <c r="U169" s="19">
        <v>0</v>
      </c>
      <c r="V169" s="20"/>
      <c r="W169" s="14">
        <v>0</v>
      </c>
      <c r="X169" s="121">
        <v>0</v>
      </c>
      <c r="Y169" s="130">
        <f t="shared" si="46"/>
        <v>0</v>
      </c>
      <c r="Z169" s="131"/>
      <c r="AA169" s="13" t="s">
        <v>186</v>
      </c>
      <c r="AB169" s="161"/>
      <c r="AC169" s="162"/>
      <c r="AD169" s="16">
        <f t="shared" si="47"/>
        <v>0</v>
      </c>
      <c r="AE169" s="94"/>
      <c r="AF169" s="26"/>
      <c r="AG169" s="27"/>
      <c r="AH169" s="27"/>
      <c r="AI169" s="27"/>
      <c r="AJ169" s="28"/>
      <c r="AK169" s="8"/>
      <c r="AL169" s="8"/>
    </row>
    <row r="170" spans="2:40" s="12" customFormat="1" ht="123.75" hidden="1" customHeight="1" thickBot="1" x14ac:dyDescent="2.4">
      <c r="B170" s="13" t="s">
        <v>187</v>
      </c>
      <c r="C170" s="19">
        <v>0</v>
      </c>
      <c r="D170" s="20"/>
      <c r="E170" s="19">
        <v>0</v>
      </c>
      <c r="F170" s="20"/>
      <c r="G170" s="19">
        <v>0</v>
      </c>
      <c r="H170" s="20"/>
      <c r="I170" s="19">
        <v>0</v>
      </c>
      <c r="J170" s="20"/>
      <c r="K170" s="19">
        <v>0</v>
      </c>
      <c r="L170" s="20"/>
      <c r="M170" s="19">
        <v>0</v>
      </c>
      <c r="N170" s="20"/>
      <c r="O170" s="19">
        <v>0</v>
      </c>
      <c r="P170" s="20"/>
      <c r="Q170" s="19">
        <v>0</v>
      </c>
      <c r="R170" s="20"/>
      <c r="S170" s="19">
        <v>0</v>
      </c>
      <c r="T170" s="20"/>
      <c r="U170" s="19">
        <v>0</v>
      </c>
      <c r="V170" s="20"/>
      <c r="W170" s="14">
        <v>0</v>
      </c>
      <c r="X170" s="121">
        <v>0</v>
      </c>
      <c r="Y170" s="130">
        <f t="shared" si="46"/>
        <v>0</v>
      </c>
      <c r="Z170" s="131"/>
      <c r="AA170" s="13" t="s">
        <v>187</v>
      </c>
      <c r="AB170" s="161"/>
      <c r="AC170" s="162"/>
      <c r="AD170" s="16">
        <f t="shared" si="47"/>
        <v>0</v>
      </c>
      <c r="AE170" s="94"/>
      <c r="AF170" s="83"/>
      <c r="AG170" s="84"/>
      <c r="AH170" s="84"/>
      <c r="AI170" s="84"/>
      <c r="AJ170" s="85"/>
      <c r="AK170" s="8"/>
      <c r="AL170" s="8"/>
    </row>
    <row r="171" spans="2:40" s="12" customFormat="1" ht="123.75" hidden="1" customHeight="1" x14ac:dyDescent="2.35">
      <c r="B171" s="13" t="s">
        <v>188</v>
      </c>
      <c r="C171" s="19">
        <v>0</v>
      </c>
      <c r="D171" s="20"/>
      <c r="E171" s="19">
        <v>0</v>
      </c>
      <c r="F171" s="20"/>
      <c r="G171" s="19">
        <v>0</v>
      </c>
      <c r="H171" s="20"/>
      <c r="I171" s="19">
        <v>0</v>
      </c>
      <c r="J171" s="20"/>
      <c r="K171" s="19">
        <v>0</v>
      </c>
      <c r="L171" s="20"/>
      <c r="M171" s="19">
        <v>0</v>
      </c>
      <c r="N171" s="20"/>
      <c r="O171" s="19">
        <v>0</v>
      </c>
      <c r="P171" s="20"/>
      <c r="Q171" s="19">
        <v>0</v>
      </c>
      <c r="R171" s="20"/>
      <c r="S171" s="19">
        <v>0</v>
      </c>
      <c r="T171" s="20"/>
      <c r="U171" s="19">
        <v>0</v>
      </c>
      <c r="V171" s="20"/>
      <c r="W171" s="14">
        <v>0</v>
      </c>
      <c r="X171" s="121">
        <v>0</v>
      </c>
      <c r="Y171" s="130">
        <f t="shared" si="46"/>
        <v>0</v>
      </c>
      <c r="Z171" s="131"/>
      <c r="AA171" s="13" t="s">
        <v>188</v>
      </c>
      <c r="AB171" s="163"/>
      <c r="AC171" s="164"/>
      <c r="AD171" s="16">
        <f>X171</f>
        <v>0</v>
      </c>
      <c r="AE171" s="94"/>
      <c r="AF171" s="24"/>
      <c r="AG171" s="24"/>
      <c r="AH171" s="24"/>
      <c r="AI171" s="24"/>
      <c r="AJ171" s="24"/>
      <c r="AK171" s="8"/>
      <c r="AL171" s="8"/>
    </row>
    <row r="172" spans="2:40" ht="123.75" customHeight="1" x14ac:dyDescent="2.35">
      <c r="B172" s="86" t="s">
        <v>189</v>
      </c>
      <c r="C172" s="95">
        <f>SUM(C164:C171)</f>
        <v>6</v>
      </c>
      <c r="D172" s="96"/>
      <c r="E172" s="95">
        <f t="shared" ref="E172:W172" si="48">SUM(E164:E171)</f>
        <v>20</v>
      </c>
      <c r="F172" s="96"/>
      <c r="G172" s="95">
        <f t="shared" si="48"/>
        <v>4</v>
      </c>
      <c r="H172" s="96"/>
      <c r="I172" s="95">
        <f t="shared" si="48"/>
        <v>8</v>
      </c>
      <c r="J172" s="96"/>
      <c r="K172" s="95">
        <f t="shared" si="48"/>
        <v>3</v>
      </c>
      <c r="L172" s="96"/>
      <c r="M172" s="95">
        <f t="shared" si="48"/>
        <v>25</v>
      </c>
      <c r="N172" s="96"/>
      <c r="O172" s="95">
        <f t="shared" si="48"/>
        <v>1</v>
      </c>
      <c r="P172" s="96"/>
      <c r="Q172" s="95">
        <f t="shared" si="48"/>
        <v>2</v>
      </c>
      <c r="R172" s="96"/>
      <c r="S172" s="95">
        <f t="shared" si="48"/>
        <v>10</v>
      </c>
      <c r="T172" s="96"/>
      <c r="U172" s="95">
        <f t="shared" si="48"/>
        <v>11</v>
      </c>
      <c r="V172" s="96"/>
      <c r="W172" s="97">
        <f t="shared" si="48"/>
        <v>0</v>
      </c>
      <c r="X172" s="122"/>
      <c r="Y172" s="146">
        <f t="shared" si="46"/>
        <v>90</v>
      </c>
      <c r="Z172" s="147"/>
      <c r="AA172" s="86" t="s">
        <v>190</v>
      </c>
      <c r="AB172" s="157"/>
      <c r="AC172" s="158"/>
      <c r="AD172" s="6" t="s">
        <v>17</v>
      </c>
      <c r="AE172" s="7"/>
      <c r="AF172" s="136">
        <f>SUM(AD164:AD167)</f>
        <v>813200</v>
      </c>
      <c r="AG172" s="211"/>
      <c r="AH172" s="211"/>
      <c r="AI172" s="211"/>
      <c r="AJ172" s="211"/>
    </row>
    <row r="173" spans="2:40" s="12" customFormat="1" ht="123.75" customHeight="1" x14ac:dyDescent="2.35">
      <c r="B173" s="13" t="s">
        <v>191</v>
      </c>
      <c r="C173" s="19">
        <v>2</v>
      </c>
      <c r="D173" s="20"/>
      <c r="E173" s="19">
        <v>0</v>
      </c>
      <c r="F173" s="20"/>
      <c r="G173" s="19">
        <v>0</v>
      </c>
      <c r="H173" s="20"/>
      <c r="I173" s="19">
        <v>0</v>
      </c>
      <c r="J173" s="20"/>
      <c r="K173" s="19">
        <v>0</v>
      </c>
      <c r="L173" s="20"/>
      <c r="M173" s="19">
        <v>0</v>
      </c>
      <c r="N173" s="20"/>
      <c r="O173" s="19">
        <v>0</v>
      </c>
      <c r="P173" s="20"/>
      <c r="Q173" s="19">
        <v>0</v>
      </c>
      <c r="R173" s="20"/>
      <c r="S173" s="19">
        <v>3</v>
      </c>
      <c r="T173" s="20"/>
      <c r="U173" s="19">
        <v>1</v>
      </c>
      <c r="V173" s="20"/>
      <c r="W173" s="14">
        <v>0</v>
      </c>
      <c r="X173" s="121">
        <v>54600</v>
      </c>
      <c r="Y173" s="130">
        <f t="shared" si="46"/>
        <v>6</v>
      </c>
      <c r="Z173" s="131"/>
      <c r="AA173" s="13" t="s">
        <v>191</v>
      </c>
      <c r="AB173" s="154"/>
      <c r="AC173" s="155"/>
      <c r="AD173" s="16">
        <f>X173</f>
        <v>54600</v>
      </c>
      <c r="AE173" s="98"/>
      <c r="AF173" s="99"/>
      <c r="AG173" s="99"/>
      <c r="AH173" s="99"/>
      <c r="AI173" s="99"/>
      <c r="AJ173" s="99"/>
      <c r="AK173" s="8"/>
      <c r="AL173" s="8"/>
    </row>
    <row r="174" spans="2:40" s="12" customFormat="1" ht="123.75" customHeight="1" x14ac:dyDescent="2.35">
      <c r="B174" s="13" t="s">
        <v>192</v>
      </c>
      <c r="C174" s="19">
        <v>1</v>
      </c>
      <c r="D174" s="20"/>
      <c r="E174" s="19">
        <v>1</v>
      </c>
      <c r="F174" s="20"/>
      <c r="G174" s="19">
        <v>0</v>
      </c>
      <c r="H174" s="20"/>
      <c r="I174" s="19">
        <v>0</v>
      </c>
      <c r="J174" s="20"/>
      <c r="K174" s="19">
        <v>0</v>
      </c>
      <c r="L174" s="20"/>
      <c r="M174" s="19">
        <v>0</v>
      </c>
      <c r="N174" s="20"/>
      <c r="O174" s="19">
        <v>0</v>
      </c>
      <c r="P174" s="20"/>
      <c r="Q174" s="19">
        <v>0</v>
      </c>
      <c r="R174" s="20"/>
      <c r="S174" s="19">
        <v>0</v>
      </c>
      <c r="T174" s="20"/>
      <c r="U174" s="19">
        <v>0</v>
      </c>
      <c r="V174" s="20"/>
      <c r="W174" s="14">
        <v>0</v>
      </c>
      <c r="X174" s="121">
        <v>13800</v>
      </c>
      <c r="Y174" s="130">
        <f t="shared" si="46"/>
        <v>2</v>
      </c>
      <c r="Z174" s="131"/>
      <c r="AA174" s="13" t="s">
        <v>192</v>
      </c>
      <c r="AB174" s="154"/>
      <c r="AC174" s="155"/>
      <c r="AD174" s="16">
        <f>X174</f>
        <v>13800</v>
      </c>
      <c r="AE174" s="98"/>
      <c r="AF174" s="99"/>
      <c r="AG174" s="99"/>
      <c r="AH174" s="99"/>
      <c r="AI174" s="99"/>
      <c r="AJ174" s="99"/>
      <c r="AK174" s="8"/>
      <c r="AL174" s="8"/>
    </row>
    <row r="175" spans="2:40" s="12" customFormat="1" ht="123.75" customHeight="1" x14ac:dyDescent="2.35">
      <c r="B175" s="13" t="s">
        <v>193</v>
      </c>
      <c r="C175" s="19">
        <v>0</v>
      </c>
      <c r="D175" s="20"/>
      <c r="E175" s="19">
        <v>0</v>
      </c>
      <c r="F175" s="20"/>
      <c r="G175" s="19">
        <v>0</v>
      </c>
      <c r="H175" s="20"/>
      <c r="I175" s="19">
        <v>0</v>
      </c>
      <c r="J175" s="20"/>
      <c r="K175" s="19">
        <v>0</v>
      </c>
      <c r="L175" s="20"/>
      <c r="M175" s="19">
        <v>1</v>
      </c>
      <c r="N175" s="20"/>
      <c r="O175" s="19">
        <v>0</v>
      </c>
      <c r="P175" s="20"/>
      <c r="Q175" s="19">
        <v>0</v>
      </c>
      <c r="R175" s="20"/>
      <c r="S175" s="19">
        <v>0</v>
      </c>
      <c r="T175" s="20"/>
      <c r="U175" s="19">
        <v>0</v>
      </c>
      <c r="V175" s="20"/>
      <c r="W175" s="14">
        <v>0</v>
      </c>
      <c r="X175" s="121">
        <v>11300</v>
      </c>
      <c r="Y175" s="130">
        <f t="shared" si="46"/>
        <v>1</v>
      </c>
      <c r="Z175" s="131"/>
      <c r="AA175" s="13" t="s">
        <v>193</v>
      </c>
      <c r="AB175" s="154"/>
      <c r="AC175" s="155"/>
      <c r="AD175" s="16">
        <f>X175</f>
        <v>11300</v>
      </c>
      <c r="AE175" s="98"/>
      <c r="AF175" s="99"/>
      <c r="AG175" s="99"/>
      <c r="AH175" s="99"/>
      <c r="AI175" s="99"/>
      <c r="AJ175" s="99"/>
      <c r="AK175" s="8"/>
      <c r="AL175" s="8"/>
    </row>
    <row r="176" spans="2:40" s="12" customFormat="1" ht="123.75" customHeight="1" x14ac:dyDescent="2.35">
      <c r="B176" s="13" t="s">
        <v>194</v>
      </c>
      <c r="C176" s="19">
        <v>0</v>
      </c>
      <c r="D176" s="20"/>
      <c r="E176" s="19">
        <v>0</v>
      </c>
      <c r="F176" s="20"/>
      <c r="G176" s="19">
        <v>0</v>
      </c>
      <c r="H176" s="20"/>
      <c r="I176" s="19">
        <v>0</v>
      </c>
      <c r="J176" s="20"/>
      <c r="K176" s="19">
        <v>1</v>
      </c>
      <c r="L176" s="20"/>
      <c r="M176" s="19">
        <v>0</v>
      </c>
      <c r="N176" s="20"/>
      <c r="O176" s="19">
        <v>0</v>
      </c>
      <c r="P176" s="20"/>
      <c r="Q176" s="19">
        <v>0</v>
      </c>
      <c r="R176" s="20"/>
      <c r="S176" s="19">
        <v>0</v>
      </c>
      <c r="T176" s="20"/>
      <c r="U176" s="19">
        <v>0</v>
      </c>
      <c r="V176" s="20"/>
      <c r="W176" s="14">
        <v>0</v>
      </c>
      <c r="X176" s="121">
        <v>10500</v>
      </c>
      <c r="Y176" s="130">
        <f t="shared" si="46"/>
        <v>1</v>
      </c>
      <c r="Z176" s="131"/>
      <c r="AA176" s="13" t="s">
        <v>194</v>
      </c>
      <c r="AB176" s="154"/>
      <c r="AC176" s="155"/>
      <c r="AD176" s="16">
        <f t="shared" ref="AD176:AD187" si="49">X176</f>
        <v>10500</v>
      </c>
      <c r="AE176" s="98"/>
      <c r="AF176" s="99"/>
      <c r="AG176" s="99"/>
      <c r="AH176" s="99"/>
      <c r="AI176" s="99"/>
      <c r="AJ176" s="99"/>
      <c r="AK176" s="8"/>
      <c r="AL176" s="8"/>
    </row>
    <row r="177" spans="2:40" s="12" customFormat="1" ht="123.75" hidden="1" customHeight="1" x14ac:dyDescent="2.35">
      <c r="B177" s="13" t="s">
        <v>195</v>
      </c>
      <c r="C177" s="19">
        <v>0</v>
      </c>
      <c r="D177" s="20"/>
      <c r="E177" s="19">
        <v>0</v>
      </c>
      <c r="F177" s="20"/>
      <c r="G177" s="19">
        <v>0</v>
      </c>
      <c r="H177" s="20"/>
      <c r="I177" s="19">
        <v>0</v>
      </c>
      <c r="J177" s="20"/>
      <c r="K177" s="19">
        <v>0</v>
      </c>
      <c r="L177" s="20"/>
      <c r="M177" s="19">
        <v>0</v>
      </c>
      <c r="N177" s="20"/>
      <c r="O177" s="19">
        <v>0</v>
      </c>
      <c r="P177" s="20"/>
      <c r="Q177" s="19">
        <v>0</v>
      </c>
      <c r="R177" s="20"/>
      <c r="S177" s="19">
        <v>0</v>
      </c>
      <c r="T177" s="20"/>
      <c r="U177" s="19">
        <v>0</v>
      </c>
      <c r="V177" s="20"/>
      <c r="W177" s="14">
        <v>0</v>
      </c>
      <c r="X177" s="121">
        <v>0</v>
      </c>
      <c r="Y177" s="130">
        <f t="shared" si="46"/>
        <v>0</v>
      </c>
      <c r="Z177" s="131"/>
      <c r="AA177" s="13" t="s">
        <v>195</v>
      </c>
      <c r="AB177" s="154"/>
      <c r="AC177" s="155"/>
      <c r="AD177" s="16">
        <f t="shared" si="49"/>
        <v>0</v>
      </c>
      <c r="AE177" s="98"/>
      <c r="AF177" s="99"/>
      <c r="AG177" s="99"/>
      <c r="AH177" s="99"/>
      <c r="AI177" s="99"/>
      <c r="AJ177" s="99"/>
      <c r="AK177" s="8"/>
      <c r="AL177" s="8"/>
    </row>
    <row r="178" spans="2:40" s="12" customFormat="1" ht="123.75" hidden="1" customHeight="1" x14ac:dyDescent="2.35">
      <c r="B178" s="13" t="s">
        <v>196</v>
      </c>
      <c r="C178" s="19">
        <v>0</v>
      </c>
      <c r="D178" s="20"/>
      <c r="E178" s="19">
        <v>0</v>
      </c>
      <c r="F178" s="20"/>
      <c r="G178" s="19">
        <v>0</v>
      </c>
      <c r="H178" s="20"/>
      <c r="I178" s="19">
        <v>0</v>
      </c>
      <c r="J178" s="20"/>
      <c r="K178" s="19">
        <v>0</v>
      </c>
      <c r="L178" s="20"/>
      <c r="M178" s="19">
        <v>0</v>
      </c>
      <c r="N178" s="20"/>
      <c r="O178" s="19">
        <v>0</v>
      </c>
      <c r="P178" s="20"/>
      <c r="Q178" s="19">
        <v>0</v>
      </c>
      <c r="R178" s="20"/>
      <c r="S178" s="19">
        <v>0</v>
      </c>
      <c r="T178" s="20"/>
      <c r="U178" s="19">
        <v>0</v>
      </c>
      <c r="V178" s="20"/>
      <c r="W178" s="14">
        <v>0</v>
      </c>
      <c r="X178" s="121">
        <v>0</v>
      </c>
      <c r="Y178" s="130">
        <f t="shared" si="46"/>
        <v>0</v>
      </c>
      <c r="Z178" s="131"/>
      <c r="AA178" s="13" t="s">
        <v>196</v>
      </c>
      <c r="AB178" s="154"/>
      <c r="AC178" s="155"/>
      <c r="AD178" s="16">
        <f t="shared" si="49"/>
        <v>0</v>
      </c>
      <c r="AE178" s="98"/>
      <c r="AF178" s="99"/>
      <c r="AG178" s="156"/>
      <c r="AH178" s="156"/>
      <c r="AI178" s="156"/>
      <c r="AJ178" s="99"/>
      <c r="AK178" s="8"/>
      <c r="AL178" s="8"/>
    </row>
    <row r="179" spans="2:40" s="12" customFormat="1" ht="127.5" hidden="1" customHeight="1" x14ac:dyDescent="2.35">
      <c r="B179" s="13" t="s">
        <v>197</v>
      </c>
      <c r="C179" s="19">
        <v>0</v>
      </c>
      <c r="D179" s="20"/>
      <c r="E179" s="19">
        <v>0</v>
      </c>
      <c r="F179" s="20"/>
      <c r="G179" s="19">
        <v>0</v>
      </c>
      <c r="H179" s="20"/>
      <c r="I179" s="19">
        <v>0</v>
      </c>
      <c r="J179" s="20"/>
      <c r="K179" s="19">
        <v>0</v>
      </c>
      <c r="L179" s="20"/>
      <c r="M179" s="19">
        <v>0</v>
      </c>
      <c r="N179" s="20"/>
      <c r="O179" s="19">
        <v>0</v>
      </c>
      <c r="P179" s="20"/>
      <c r="Q179" s="19">
        <v>0</v>
      </c>
      <c r="R179" s="20"/>
      <c r="S179" s="19">
        <v>0</v>
      </c>
      <c r="T179" s="20"/>
      <c r="U179" s="19">
        <v>0</v>
      </c>
      <c r="V179" s="20"/>
      <c r="W179" s="14">
        <v>0</v>
      </c>
      <c r="X179" s="121">
        <v>0</v>
      </c>
      <c r="Y179" s="130">
        <f t="shared" si="46"/>
        <v>0</v>
      </c>
      <c r="Z179" s="131"/>
      <c r="AA179" s="13" t="s">
        <v>197</v>
      </c>
      <c r="AB179" s="154"/>
      <c r="AC179" s="155"/>
      <c r="AD179" s="16">
        <f t="shared" si="49"/>
        <v>0</v>
      </c>
      <c r="AE179" s="98"/>
      <c r="AF179" s="99"/>
      <c r="AG179" s="99"/>
      <c r="AH179" s="99"/>
      <c r="AI179" s="99"/>
      <c r="AJ179" s="99"/>
      <c r="AK179" s="8"/>
      <c r="AL179" s="8"/>
    </row>
    <row r="180" spans="2:40" s="12" customFormat="1" ht="135" hidden="1" customHeight="1" x14ac:dyDescent="2.35">
      <c r="B180" s="13" t="s">
        <v>198</v>
      </c>
      <c r="C180" s="19">
        <v>0</v>
      </c>
      <c r="D180" s="20"/>
      <c r="E180" s="19">
        <v>0</v>
      </c>
      <c r="F180" s="20"/>
      <c r="G180" s="19">
        <v>0</v>
      </c>
      <c r="H180" s="20"/>
      <c r="I180" s="19">
        <v>0</v>
      </c>
      <c r="J180" s="20"/>
      <c r="K180" s="19">
        <v>0</v>
      </c>
      <c r="L180" s="20"/>
      <c r="M180" s="19">
        <v>0</v>
      </c>
      <c r="N180" s="20"/>
      <c r="O180" s="19">
        <v>0</v>
      </c>
      <c r="P180" s="20"/>
      <c r="Q180" s="19">
        <v>0</v>
      </c>
      <c r="R180" s="20"/>
      <c r="S180" s="19">
        <v>0</v>
      </c>
      <c r="T180" s="20"/>
      <c r="U180" s="19">
        <v>0</v>
      </c>
      <c r="V180" s="20"/>
      <c r="W180" s="14">
        <v>0</v>
      </c>
      <c r="X180" s="121">
        <v>0</v>
      </c>
      <c r="Y180" s="130">
        <f t="shared" si="46"/>
        <v>0</v>
      </c>
      <c r="Z180" s="131"/>
      <c r="AA180" s="13" t="s">
        <v>198</v>
      </c>
      <c r="AB180" s="154"/>
      <c r="AC180" s="155"/>
      <c r="AD180" s="16">
        <f t="shared" si="49"/>
        <v>0</v>
      </c>
      <c r="AE180" s="98"/>
      <c r="AF180" s="99"/>
      <c r="AG180" s="99"/>
      <c r="AH180" s="99"/>
      <c r="AI180" s="99"/>
      <c r="AJ180" s="99"/>
      <c r="AK180" s="8"/>
      <c r="AL180" s="8"/>
    </row>
    <row r="181" spans="2:40" s="12" customFormat="1" ht="123.75" hidden="1" customHeight="1" x14ac:dyDescent="2.35">
      <c r="B181" s="13" t="s">
        <v>199</v>
      </c>
      <c r="C181" s="19">
        <v>0</v>
      </c>
      <c r="D181" s="20"/>
      <c r="E181" s="19">
        <v>0</v>
      </c>
      <c r="F181" s="20"/>
      <c r="G181" s="19">
        <v>0</v>
      </c>
      <c r="H181" s="20"/>
      <c r="I181" s="19">
        <v>0</v>
      </c>
      <c r="J181" s="20"/>
      <c r="K181" s="19">
        <v>0</v>
      </c>
      <c r="L181" s="20"/>
      <c r="M181" s="19">
        <v>0</v>
      </c>
      <c r="N181" s="20"/>
      <c r="O181" s="19">
        <v>0</v>
      </c>
      <c r="P181" s="20"/>
      <c r="Q181" s="19">
        <v>0</v>
      </c>
      <c r="R181" s="20"/>
      <c r="S181" s="19">
        <v>0</v>
      </c>
      <c r="T181" s="20"/>
      <c r="U181" s="19">
        <v>0</v>
      </c>
      <c r="V181" s="20"/>
      <c r="W181" s="14">
        <v>0</v>
      </c>
      <c r="X181" s="121">
        <v>0</v>
      </c>
      <c r="Y181" s="130">
        <f t="shared" si="46"/>
        <v>0</v>
      </c>
      <c r="Z181" s="131"/>
      <c r="AA181" s="13" t="s">
        <v>199</v>
      </c>
      <c r="AB181" s="154"/>
      <c r="AC181" s="155"/>
      <c r="AD181" s="16">
        <f t="shared" si="49"/>
        <v>0</v>
      </c>
      <c r="AE181" s="98"/>
      <c r="AF181" s="99"/>
      <c r="AG181" s="99"/>
      <c r="AH181" s="99"/>
      <c r="AI181" s="99"/>
      <c r="AJ181" s="99"/>
      <c r="AK181" s="8"/>
      <c r="AL181" s="8"/>
    </row>
    <row r="182" spans="2:40" s="12" customFormat="1" ht="123.75" hidden="1" customHeight="1" x14ac:dyDescent="2.35">
      <c r="B182" s="13" t="s">
        <v>213</v>
      </c>
      <c r="C182" s="19">
        <v>0</v>
      </c>
      <c r="D182" s="20"/>
      <c r="E182" s="19">
        <v>0</v>
      </c>
      <c r="F182" s="20"/>
      <c r="G182" s="19">
        <v>0</v>
      </c>
      <c r="H182" s="20"/>
      <c r="I182" s="19">
        <v>0</v>
      </c>
      <c r="J182" s="20"/>
      <c r="K182" s="19">
        <v>0</v>
      </c>
      <c r="L182" s="20"/>
      <c r="M182" s="19">
        <v>0</v>
      </c>
      <c r="N182" s="20"/>
      <c r="O182" s="19">
        <v>0</v>
      </c>
      <c r="P182" s="20"/>
      <c r="Q182" s="19">
        <v>0</v>
      </c>
      <c r="R182" s="20"/>
      <c r="S182" s="19">
        <v>0</v>
      </c>
      <c r="T182" s="20"/>
      <c r="U182" s="19">
        <v>0</v>
      </c>
      <c r="V182" s="20"/>
      <c r="W182" s="14">
        <v>0</v>
      </c>
      <c r="X182" s="121">
        <v>0</v>
      </c>
      <c r="Y182" s="130">
        <f t="shared" si="46"/>
        <v>0</v>
      </c>
      <c r="Z182" s="131"/>
      <c r="AA182" s="13" t="s">
        <v>213</v>
      </c>
      <c r="AB182" s="126" t="s">
        <v>214</v>
      </c>
      <c r="AC182" s="127"/>
      <c r="AD182" s="16">
        <f t="shared" si="49"/>
        <v>0</v>
      </c>
      <c r="AE182" s="98"/>
      <c r="AF182" s="99"/>
      <c r="AG182" s="99"/>
      <c r="AH182" s="99"/>
      <c r="AI182" s="99"/>
      <c r="AJ182" s="99"/>
      <c r="AK182" s="8"/>
      <c r="AL182" s="8"/>
    </row>
    <row r="183" spans="2:40" s="12" customFormat="1" ht="123.75" hidden="1" customHeight="1" x14ac:dyDescent="2.35">
      <c r="B183" s="13" t="s">
        <v>200</v>
      </c>
      <c r="C183" s="19">
        <v>0</v>
      </c>
      <c r="D183" s="20"/>
      <c r="E183" s="19">
        <v>0</v>
      </c>
      <c r="F183" s="20"/>
      <c r="G183" s="19">
        <v>0</v>
      </c>
      <c r="H183" s="20"/>
      <c r="I183" s="19">
        <v>0</v>
      </c>
      <c r="J183" s="20"/>
      <c r="K183" s="19">
        <v>0</v>
      </c>
      <c r="L183" s="20"/>
      <c r="M183" s="19">
        <v>0</v>
      </c>
      <c r="N183" s="20"/>
      <c r="O183" s="19">
        <v>0</v>
      </c>
      <c r="P183" s="20"/>
      <c r="Q183" s="19">
        <v>0</v>
      </c>
      <c r="R183" s="20"/>
      <c r="S183" s="19">
        <v>0</v>
      </c>
      <c r="T183" s="20"/>
      <c r="U183" s="19">
        <v>0</v>
      </c>
      <c r="V183" s="20"/>
      <c r="W183" s="14">
        <v>0</v>
      </c>
      <c r="X183" s="121">
        <v>0</v>
      </c>
      <c r="Y183" s="130">
        <f t="shared" si="46"/>
        <v>0</v>
      </c>
      <c r="Z183" s="131"/>
      <c r="AA183" s="13" t="s">
        <v>200</v>
      </c>
      <c r="AB183" s="154"/>
      <c r="AC183" s="155"/>
      <c r="AD183" s="16">
        <f t="shared" si="49"/>
        <v>0</v>
      </c>
      <c r="AE183" s="98"/>
      <c r="AF183" s="99"/>
      <c r="AG183" s="99"/>
      <c r="AH183" s="99"/>
      <c r="AI183" s="99"/>
      <c r="AJ183" s="99"/>
      <c r="AK183" s="8"/>
      <c r="AL183" s="8"/>
    </row>
    <row r="184" spans="2:40" s="12" customFormat="1" ht="123.75" hidden="1" customHeight="1" x14ac:dyDescent="2.35">
      <c r="B184" s="13" t="s">
        <v>201</v>
      </c>
      <c r="C184" s="19">
        <v>0</v>
      </c>
      <c r="D184" s="20"/>
      <c r="E184" s="19">
        <v>0</v>
      </c>
      <c r="F184" s="20"/>
      <c r="G184" s="19">
        <v>0</v>
      </c>
      <c r="H184" s="20"/>
      <c r="I184" s="19">
        <v>0</v>
      </c>
      <c r="J184" s="20"/>
      <c r="K184" s="19">
        <v>0</v>
      </c>
      <c r="L184" s="20"/>
      <c r="M184" s="19">
        <v>0</v>
      </c>
      <c r="N184" s="20"/>
      <c r="O184" s="19">
        <v>0</v>
      </c>
      <c r="P184" s="20"/>
      <c r="Q184" s="19">
        <v>0</v>
      </c>
      <c r="R184" s="20"/>
      <c r="S184" s="19">
        <v>0</v>
      </c>
      <c r="T184" s="20"/>
      <c r="U184" s="19">
        <v>0</v>
      </c>
      <c r="V184" s="20"/>
      <c r="W184" s="14">
        <v>0</v>
      </c>
      <c r="X184" s="121">
        <v>0</v>
      </c>
      <c r="Y184" s="130">
        <f t="shared" si="46"/>
        <v>0</v>
      </c>
      <c r="Z184" s="131"/>
      <c r="AA184" s="13" t="s">
        <v>201</v>
      </c>
      <c r="AB184" s="154"/>
      <c r="AC184" s="155"/>
      <c r="AD184" s="16">
        <f t="shared" si="49"/>
        <v>0</v>
      </c>
      <c r="AE184" s="98"/>
      <c r="AF184" s="99"/>
      <c r="AG184" s="99"/>
      <c r="AH184" s="99"/>
      <c r="AI184" s="99"/>
      <c r="AJ184" s="99"/>
      <c r="AK184" s="8"/>
      <c r="AL184" s="8"/>
    </row>
    <row r="185" spans="2:40" s="12" customFormat="1" ht="123.75" customHeight="1" x14ac:dyDescent="2.35">
      <c r="B185" s="13" t="s">
        <v>202</v>
      </c>
      <c r="C185" s="19">
        <v>0</v>
      </c>
      <c r="D185" s="20"/>
      <c r="E185" s="19">
        <v>0</v>
      </c>
      <c r="F185" s="20"/>
      <c r="G185" s="19">
        <v>0</v>
      </c>
      <c r="H185" s="20"/>
      <c r="I185" s="19">
        <v>0</v>
      </c>
      <c r="J185" s="20"/>
      <c r="K185" s="19">
        <v>0</v>
      </c>
      <c r="L185" s="20"/>
      <c r="M185" s="19">
        <v>0</v>
      </c>
      <c r="N185" s="20"/>
      <c r="O185" s="19">
        <v>0</v>
      </c>
      <c r="P185" s="20"/>
      <c r="Q185" s="19">
        <v>0</v>
      </c>
      <c r="R185" s="20"/>
      <c r="S185" s="19">
        <v>0</v>
      </c>
      <c r="T185" s="20"/>
      <c r="U185" s="19">
        <v>1</v>
      </c>
      <c r="V185" s="20"/>
      <c r="W185" s="14">
        <v>0</v>
      </c>
      <c r="X185" s="121">
        <v>13000</v>
      </c>
      <c r="Y185" s="130">
        <f t="shared" si="46"/>
        <v>1</v>
      </c>
      <c r="Z185" s="131"/>
      <c r="AA185" s="13" t="s">
        <v>202</v>
      </c>
      <c r="AB185" s="154"/>
      <c r="AC185" s="155"/>
      <c r="AD185" s="16">
        <f t="shared" si="49"/>
        <v>13000</v>
      </c>
      <c r="AE185" s="98"/>
      <c r="AF185" s="99"/>
      <c r="AG185" s="99"/>
      <c r="AH185" s="99"/>
      <c r="AI185" s="99"/>
      <c r="AJ185" s="99"/>
      <c r="AK185" s="8"/>
      <c r="AL185" s="8"/>
    </row>
    <row r="186" spans="2:40" s="12" customFormat="1" ht="123.75" customHeight="1" x14ac:dyDescent="2.35">
      <c r="B186" s="13" t="s">
        <v>203</v>
      </c>
      <c r="C186" s="19">
        <v>0</v>
      </c>
      <c r="D186" s="20"/>
      <c r="E186" s="19">
        <v>0</v>
      </c>
      <c r="F186" s="20"/>
      <c r="G186" s="19">
        <v>0</v>
      </c>
      <c r="H186" s="20"/>
      <c r="I186" s="19">
        <v>0</v>
      </c>
      <c r="J186" s="20"/>
      <c r="K186" s="19">
        <v>0</v>
      </c>
      <c r="L186" s="20"/>
      <c r="M186" s="19">
        <v>0</v>
      </c>
      <c r="N186" s="20"/>
      <c r="O186" s="19">
        <v>1</v>
      </c>
      <c r="P186" s="20"/>
      <c r="Q186" s="19">
        <v>0</v>
      </c>
      <c r="R186" s="20"/>
      <c r="S186" s="19">
        <v>0</v>
      </c>
      <c r="T186" s="20"/>
      <c r="U186" s="19">
        <v>0</v>
      </c>
      <c r="V186" s="20"/>
      <c r="W186" s="14">
        <v>0</v>
      </c>
      <c r="X186" s="121">
        <v>13000</v>
      </c>
      <c r="Y186" s="130">
        <f t="shared" si="46"/>
        <v>1</v>
      </c>
      <c r="Z186" s="131"/>
      <c r="AA186" s="13" t="s">
        <v>203</v>
      </c>
      <c r="AB186" s="154"/>
      <c r="AC186" s="155"/>
      <c r="AD186" s="16">
        <f t="shared" si="49"/>
        <v>13000</v>
      </c>
      <c r="AE186" s="100"/>
      <c r="AF186" s="99"/>
      <c r="AG186" s="99"/>
      <c r="AH186" s="99"/>
      <c r="AI186" s="99"/>
      <c r="AJ186" s="99"/>
      <c r="AK186" s="8"/>
      <c r="AL186" s="8"/>
    </row>
    <row r="187" spans="2:40" s="12" customFormat="1" ht="123.75" customHeight="1" x14ac:dyDescent="2.35">
      <c r="B187" s="13" t="s">
        <v>204</v>
      </c>
      <c r="C187" s="19">
        <v>0</v>
      </c>
      <c r="D187" s="20"/>
      <c r="E187" s="19">
        <v>0</v>
      </c>
      <c r="F187" s="20"/>
      <c r="G187" s="19">
        <v>0</v>
      </c>
      <c r="H187" s="20"/>
      <c r="I187" s="19">
        <v>0</v>
      </c>
      <c r="J187" s="20"/>
      <c r="K187" s="19">
        <v>0</v>
      </c>
      <c r="L187" s="20"/>
      <c r="M187" s="19">
        <v>0</v>
      </c>
      <c r="N187" s="20"/>
      <c r="O187" s="19">
        <v>0</v>
      </c>
      <c r="P187" s="20"/>
      <c r="Q187" s="19">
        <v>0</v>
      </c>
      <c r="R187" s="20"/>
      <c r="S187" s="19">
        <v>0</v>
      </c>
      <c r="T187" s="20"/>
      <c r="U187" s="19">
        <v>0</v>
      </c>
      <c r="V187" s="20"/>
      <c r="W187" s="14">
        <v>0</v>
      </c>
      <c r="X187" s="121">
        <v>0</v>
      </c>
      <c r="Y187" s="130">
        <f t="shared" si="46"/>
        <v>0</v>
      </c>
      <c r="Z187" s="131"/>
      <c r="AA187" s="13" t="s">
        <v>204</v>
      </c>
      <c r="AB187" s="154"/>
      <c r="AC187" s="155"/>
      <c r="AD187" s="16">
        <f t="shared" si="49"/>
        <v>0</v>
      </c>
      <c r="AE187" s="100"/>
      <c r="AF187" s="99"/>
      <c r="AG187" s="99"/>
      <c r="AH187" s="99"/>
      <c r="AI187" s="99"/>
      <c r="AJ187" s="99"/>
      <c r="AK187" s="8"/>
      <c r="AL187" s="8"/>
    </row>
    <row r="188" spans="2:40" ht="123.75" customHeight="1" x14ac:dyDescent="2.35">
      <c r="B188" s="79" t="s">
        <v>107</v>
      </c>
      <c r="C188" s="142" t="s">
        <v>2</v>
      </c>
      <c r="D188" s="143"/>
      <c r="E188" s="142" t="s">
        <v>3</v>
      </c>
      <c r="F188" s="143"/>
      <c r="G188" s="142" t="s">
        <v>4</v>
      </c>
      <c r="H188" s="143"/>
      <c r="I188" s="142" t="s">
        <v>5</v>
      </c>
      <c r="J188" s="143"/>
      <c r="K188" s="142" t="s">
        <v>6</v>
      </c>
      <c r="L188" s="143"/>
      <c r="M188" s="142" t="s">
        <v>8</v>
      </c>
      <c r="N188" s="143"/>
      <c r="O188" s="142" t="s">
        <v>9</v>
      </c>
      <c r="P188" s="143"/>
      <c r="Q188" s="142" t="s">
        <v>10</v>
      </c>
      <c r="R188" s="143"/>
      <c r="S188" s="142" t="s">
        <v>11</v>
      </c>
      <c r="T188" s="143"/>
      <c r="U188" s="142" t="s">
        <v>12</v>
      </c>
      <c r="V188" s="143"/>
      <c r="W188" s="9" t="s">
        <v>13</v>
      </c>
      <c r="X188" s="118"/>
      <c r="Y188" s="146" t="s">
        <v>14</v>
      </c>
      <c r="Z188" s="147"/>
      <c r="AA188" s="79" t="s">
        <v>107</v>
      </c>
      <c r="AB188" s="148"/>
      <c r="AC188" s="149"/>
      <c r="AD188" s="6" t="s">
        <v>17</v>
      </c>
      <c r="AE188" s="7"/>
      <c r="AK188" s="8"/>
      <c r="AL188" s="8"/>
    </row>
    <row r="189" spans="2:40" ht="123.75" customHeight="1" x14ac:dyDescent="2.35">
      <c r="B189" s="15" t="s">
        <v>205</v>
      </c>
      <c r="C189" s="130">
        <v>0</v>
      </c>
      <c r="D189" s="131"/>
      <c r="E189" s="130">
        <v>0</v>
      </c>
      <c r="F189" s="131"/>
      <c r="G189" s="130">
        <v>0</v>
      </c>
      <c r="H189" s="131"/>
      <c r="I189" s="130">
        <v>0</v>
      </c>
      <c r="J189" s="131"/>
      <c r="K189" s="130">
        <v>0</v>
      </c>
      <c r="L189" s="131"/>
      <c r="M189" s="130">
        <v>0</v>
      </c>
      <c r="N189" s="131"/>
      <c r="O189" s="130">
        <v>0</v>
      </c>
      <c r="P189" s="131"/>
      <c r="Q189" s="130">
        <v>0</v>
      </c>
      <c r="R189" s="131"/>
      <c r="S189" s="130">
        <v>0</v>
      </c>
      <c r="T189" s="131"/>
      <c r="U189" s="130">
        <v>0</v>
      </c>
      <c r="V189" s="131"/>
      <c r="W189" s="14">
        <v>0</v>
      </c>
      <c r="X189" s="121"/>
      <c r="Y189" s="130">
        <f>SUM(C189:W189)</f>
        <v>0</v>
      </c>
      <c r="Z189" s="131"/>
      <c r="AA189" s="15" t="s">
        <v>205</v>
      </c>
      <c r="AB189" s="152"/>
      <c r="AC189" s="153"/>
      <c r="AD189" s="16">
        <f>X189</f>
        <v>0</v>
      </c>
      <c r="AE189" s="7"/>
      <c r="AK189" s="8"/>
      <c r="AL189" s="8"/>
    </row>
    <row r="190" spans="2:40" s="2" customFormat="1" ht="123.75" customHeight="1" x14ac:dyDescent="2.35">
      <c r="B190" s="79" t="s">
        <v>206</v>
      </c>
      <c r="C190" s="142" t="s">
        <v>2</v>
      </c>
      <c r="D190" s="143"/>
      <c r="E190" s="142" t="s">
        <v>3</v>
      </c>
      <c r="F190" s="143"/>
      <c r="G190" s="142" t="s">
        <v>4</v>
      </c>
      <c r="H190" s="143"/>
      <c r="I190" s="142" t="s">
        <v>5</v>
      </c>
      <c r="J190" s="143"/>
      <c r="K190" s="142" t="s">
        <v>6</v>
      </c>
      <c r="L190" s="143"/>
      <c r="M190" s="142" t="s">
        <v>8</v>
      </c>
      <c r="N190" s="143"/>
      <c r="O190" s="142" t="s">
        <v>9</v>
      </c>
      <c r="P190" s="143"/>
      <c r="Q190" s="142" t="s">
        <v>10</v>
      </c>
      <c r="R190" s="143"/>
      <c r="S190" s="142" t="s">
        <v>11</v>
      </c>
      <c r="T190" s="143"/>
      <c r="U190" s="142" t="s">
        <v>12</v>
      </c>
      <c r="V190" s="143"/>
      <c r="W190" s="9" t="s">
        <v>13</v>
      </c>
      <c r="X190" s="118"/>
      <c r="Y190" s="146" t="s">
        <v>14</v>
      </c>
      <c r="Z190" s="147"/>
      <c r="AA190" s="79" t="s">
        <v>206</v>
      </c>
      <c r="AB190" s="148"/>
      <c r="AC190" s="149"/>
      <c r="AD190" s="6" t="s">
        <v>17</v>
      </c>
      <c r="AE190" s="7"/>
      <c r="AF190" s="99"/>
      <c r="AG190" s="99"/>
      <c r="AH190" s="99"/>
      <c r="AI190" s="99"/>
      <c r="AJ190" s="99"/>
      <c r="AK190" s="8"/>
      <c r="AL190" s="8"/>
      <c r="AM190" s="12"/>
      <c r="AN190" s="12"/>
    </row>
    <row r="191" spans="2:40" ht="123.75" customHeight="1" x14ac:dyDescent="2.35">
      <c r="B191" s="13" t="s">
        <v>207</v>
      </c>
      <c r="C191" s="19">
        <v>0</v>
      </c>
      <c r="D191" s="20"/>
      <c r="E191" s="19">
        <v>0</v>
      </c>
      <c r="F191" s="20"/>
      <c r="G191" s="19">
        <v>0</v>
      </c>
      <c r="H191" s="20"/>
      <c r="I191" s="19">
        <v>0</v>
      </c>
      <c r="J191" s="20"/>
      <c r="K191" s="19">
        <v>0</v>
      </c>
      <c r="L191" s="20"/>
      <c r="M191" s="19">
        <v>0</v>
      </c>
      <c r="N191" s="20"/>
      <c r="O191" s="19">
        <v>0</v>
      </c>
      <c r="P191" s="20"/>
      <c r="Q191" s="19">
        <v>0</v>
      </c>
      <c r="R191" s="20"/>
      <c r="S191" s="19">
        <v>0</v>
      </c>
      <c r="T191" s="20"/>
      <c r="U191" s="19">
        <v>0</v>
      </c>
      <c r="V191" s="20"/>
      <c r="W191" s="14">
        <v>0</v>
      </c>
      <c r="X191" s="123">
        <v>0</v>
      </c>
      <c r="Y191" s="130">
        <f>SUM(C191:W191)</f>
        <v>0</v>
      </c>
      <c r="Z191" s="131"/>
      <c r="AA191" s="68" t="s">
        <v>207</v>
      </c>
      <c r="AB191" s="150"/>
      <c r="AC191" s="151"/>
      <c r="AD191" s="16">
        <f>X191</f>
        <v>0</v>
      </c>
      <c r="AE191" s="17"/>
      <c r="AM191" s="2"/>
      <c r="AN191" s="2"/>
    </row>
    <row r="192" spans="2:40" s="2" customFormat="1" ht="165" customHeight="1" x14ac:dyDescent="2.35">
      <c r="B192" s="144" t="s">
        <v>216</v>
      </c>
      <c r="C192" s="142" t="s">
        <v>2</v>
      </c>
      <c r="D192" s="143"/>
      <c r="E192" s="142" t="s">
        <v>3</v>
      </c>
      <c r="F192" s="143"/>
      <c r="G192" s="142" t="s">
        <v>4</v>
      </c>
      <c r="H192" s="143"/>
      <c r="I192" s="142" t="s">
        <v>5</v>
      </c>
      <c r="J192" s="143"/>
      <c r="K192" s="142" t="s">
        <v>6</v>
      </c>
      <c r="L192" s="143"/>
      <c r="M192" s="142" t="s">
        <v>8</v>
      </c>
      <c r="N192" s="143"/>
      <c r="O192" s="142" t="s">
        <v>9</v>
      </c>
      <c r="P192" s="143"/>
      <c r="Q192" s="142" t="s">
        <v>10</v>
      </c>
      <c r="R192" s="143"/>
      <c r="S192" s="142" t="s">
        <v>11</v>
      </c>
      <c r="T192" s="143"/>
      <c r="U192" s="142" t="s">
        <v>12</v>
      </c>
      <c r="V192" s="143"/>
      <c r="W192" s="9" t="s">
        <v>13</v>
      </c>
      <c r="X192" s="118"/>
      <c r="Y192" s="137" t="s">
        <v>209</v>
      </c>
      <c r="Z192" s="138"/>
      <c r="AA192" s="139"/>
      <c r="AB192" s="101"/>
      <c r="AC192" s="101"/>
      <c r="AD192" s="102"/>
      <c r="AE192" s="17"/>
      <c r="AK192" s="3"/>
      <c r="AL192" s="3"/>
      <c r="AM192"/>
      <c r="AN192"/>
    </row>
    <row r="193" spans="2:40" s="106" customFormat="1" ht="255" x14ac:dyDescent="3.65">
      <c r="B193" s="145"/>
      <c r="C193" s="140">
        <v>1409500</v>
      </c>
      <c r="D193" s="141"/>
      <c r="E193" s="140">
        <v>2089900</v>
      </c>
      <c r="F193" s="141"/>
      <c r="G193" s="140">
        <v>1442600</v>
      </c>
      <c r="H193" s="141"/>
      <c r="I193" s="140">
        <v>1649100</v>
      </c>
      <c r="J193" s="141"/>
      <c r="K193" s="140">
        <v>700700</v>
      </c>
      <c r="L193" s="141"/>
      <c r="M193" s="140">
        <v>1544900</v>
      </c>
      <c r="N193" s="141"/>
      <c r="O193" s="140">
        <v>1670150</v>
      </c>
      <c r="P193" s="141"/>
      <c r="Q193" s="140">
        <v>788900</v>
      </c>
      <c r="R193" s="141"/>
      <c r="S193" s="140">
        <v>2141300</v>
      </c>
      <c r="T193" s="141"/>
      <c r="U193" s="140">
        <v>2399500</v>
      </c>
      <c r="V193" s="141"/>
      <c r="W193" s="103">
        <v>1234800</v>
      </c>
      <c r="X193" s="124"/>
      <c r="Y193" s="132">
        <f>SUM(C193:W193)</f>
        <v>17071350</v>
      </c>
      <c r="Z193" s="133"/>
      <c r="AA193" s="134"/>
      <c r="AB193" s="104"/>
      <c r="AC193" s="104"/>
      <c r="AD193" s="105"/>
      <c r="AE193" s="102"/>
      <c r="AF193" s="2"/>
      <c r="AG193" s="2"/>
      <c r="AH193" s="2"/>
      <c r="AI193" s="2"/>
      <c r="AJ193" s="2"/>
      <c r="AK193" s="3"/>
      <c r="AL193" s="3"/>
      <c r="AM193" s="2"/>
      <c r="AN193" s="2"/>
    </row>
    <row r="195" spans="2:40" x14ac:dyDescent="2.35">
      <c r="C195" s="135"/>
      <c r="D195" s="135"/>
      <c r="O195" s="136"/>
      <c r="P195" s="136"/>
      <c r="R195" s="108"/>
      <c r="AA195" s="109"/>
    </row>
    <row r="196" spans="2:40" x14ac:dyDescent="2.35">
      <c r="AA196" s="109"/>
    </row>
  </sheetData>
  <mergeCells count="343">
    <mergeCell ref="Y191:Z191"/>
    <mergeCell ref="AB191:AC191"/>
    <mergeCell ref="Q190:R190"/>
    <mergeCell ref="S190:T190"/>
    <mergeCell ref="U190:V190"/>
    <mergeCell ref="Y190:Z190"/>
    <mergeCell ref="Q193:R193"/>
    <mergeCell ref="S193:T193"/>
    <mergeCell ref="U193:V193"/>
    <mergeCell ref="Y193:AA193"/>
    <mergeCell ref="C195:D195"/>
    <mergeCell ref="O195:P195"/>
    <mergeCell ref="Q192:R192"/>
    <mergeCell ref="S192:T192"/>
    <mergeCell ref="U192:V192"/>
    <mergeCell ref="Y192:AA192"/>
    <mergeCell ref="C193:D193"/>
    <mergeCell ref="E193:F193"/>
    <mergeCell ref="G193:H193"/>
    <mergeCell ref="I193:J193"/>
    <mergeCell ref="K193:L193"/>
    <mergeCell ref="M193:N193"/>
    <mergeCell ref="B192:B193"/>
    <mergeCell ref="C192:D192"/>
    <mergeCell ref="E192:F192"/>
    <mergeCell ref="G192:H192"/>
    <mergeCell ref="I192:J192"/>
    <mergeCell ref="K192:L192"/>
    <mergeCell ref="M192:N192"/>
    <mergeCell ref="O192:P192"/>
    <mergeCell ref="O190:P190"/>
    <mergeCell ref="O193:P193"/>
    <mergeCell ref="AB190:AC190"/>
    <mergeCell ref="C190:D190"/>
    <mergeCell ref="E190:F190"/>
    <mergeCell ref="G190:H190"/>
    <mergeCell ref="I190:J190"/>
    <mergeCell ref="K190:L190"/>
    <mergeCell ref="M190:N190"/>
    <mergeCell ref="O189:P189"/>
    <mergeCell ref="Q189:R189"/>
    <mergeCell ref="S189:T189"/>
    <mergeCell ref="U189:V189"/>
    <mergeCell ref="Y189:Z189"/>
    <mergeCell ref="AB189:AC189"/>
    <mergeCell ref="C189:D189"/>
    <mergeCell ref="E189:F189"/>
    <mergeCell ref="G189:H189"/>
    <mergeCell ref="I189:J189"/>
    <mergeCell ref="K189:L189"/>
    <mergeCell ref="M189:N189"/>
    <mergeCell ref="O188:P188"/>
    <mergeCell ref="Q188:R188"/>
    <mergeCell ref="S188:T188"/>
    <mergeCell ref="U188:V188"/>
    <mergeCell ref="Y188:Z188"/>
    <mergeCell ref="AB188:AC188"/>
    <mergeCell ref="C188:D188"/>
    <mergeCell ref="E188:F188"/>
    <mergeCell ref="G188:H188"/>
    <mergeCell ref="I188:J188"/>
    <mergeCell ref="K188:L188"/>
    <mergeCell ref="M188:N188"/>
    <mergeCell ref="Y185:Z185"/>
    <mergeCell ref="AB185:AC185"/>
    <mergeCell ref="Y186:Z186"/>
    <mergeCell ref="AB186:AC186"/>
    <mergeCell ref="Y187:Z187"/>
    <mergeCell ref="AB187:AC187"/>
    <mergeCell ref="Y181:Z181"/>
    <mergeCell ref="AB181:AC181"/>
    <mergeCell ref="Y182:Z182"/>
    <mergeCell ref="Y183:Z183"/>
    <mergeCell ref="AB183:AC183"/>
    <mergeCell ref="Y184:Z184"/>
    <mergeCell ref="AB184:AC184"/>
    <mergeCell ref="Y179:Z179"/>
    <mergeCell ref="AB179:AC179"/>
    <mergeCell ref="Y180:Z180"/>
    <mergeCell ref="AB180:AC180"/>
    <mergeCell ref="Y175:Z175"/>
    <mergeCell ref="AB175:AC175"/>
    <mergeCell ref="Y176:Z176"/>
    <mergeCell ref="AB176:AC176"/>
    <mergeCell ref="Y177:Z177"/>
    <mergeCell ref="AB177:AC177"/>
    <mergeCell ref="Y174:Z174"/>
    <mergeCell ref="AB174:AC174"/>
    <mergeCell ref="AF164:AJ167"/>
    <mergeCell ref="Y165:Z165"/>
    <mergeCell ref="Y166:Z166"/>
    <mergeCell ref="Y167:Z167"/>
    <mergeCell ref="Y168:Z168"/>
    <mergeCell ref="AF168:AJ168"/>
    <mergeCell ref="Y178:Z178"/>
    <mergeCell ref="AB178:AC178"/>
    <mergeCell ref="AG178:AI178"/>
    <mergeCell ref="AF172:AJ172"/>
    <mergeCell ref="Y164:Z164"/>
    <mergeCell ref="AB164:AC171"/>
    <mergeCell ref="Y169:Z169"/>
    <mergeCell ref="Y170:Z170"/>
    <mergeCell ref="Y171:Z171"/>
    <mergeCell ref="Y172:Z172"/>
    <mergeCell ref="AB172:AC172"/>
    <mergeCell ref="Y173:Z173"/>
    <mergeCell ref="AB173:AC173"/>
    <mergeCell ref="AB157:AC162"/>
    <mergeCell ref="C163:D163"/>
    <mergeCell ref="E163:F163"/>
    <mergeCell ref="G163:H163"/>
    <mergeCell ref="I163:J163"/>
    <mergeCell ref="K163:L163"/>
    <mergeCell ref="M163:N163"/>
    <mergeCell ref="O163:P163"/>
    <mergeCell ref="Q155:R155"/>
    <mergeCell ref="S155:T155"/>
    <mergeCell ref="U155:V155"/>
    <mergeCell ref="W155:W156"/>
    <mergeCell ref="Y155:Y156"/>
    <mergeCell ref="Z155:Z156"/>
    <mergeCell ref="Q163:R163"/>
    <mergeCell ref="S163:T163"/>
    <mergeCell ref="U163:V163"/>
    <mergeCell ref="Y163:Z163"/>
    <mergeCell ref="AB163:AC163"/>
    <mergeCell ref="AB153:AC153"/>
    <mergeCell ref="B154:AD154"/>
    <mergeCell ref="B155:B156"/>
    <mergeCell ref="C155:D155"/>
    <mergeCell ref="E155:F155"/>
    <mergeCell ref="G155:H155"/>
    <mergeCell ref="I155:J155"/>
    <mergeCell ref="K155:L155"/>
    <mergeCell ref="M155:N155"/>
    <mergeCell ref="O155:P155"/>
    <mergeCell ref="AA155:AA156"/>
    <mergeCell ref="AB155:AC155"/>
    <mergeCell ref="Q141:R141"/>
    <mergeCell ref="S141:T141"/>
    <mergeCell ref="U141:V141"/>
    <mergeCell ref="AB141:AC141"/>
    <mergeCell ref="AB142:AC152"/>
    <mergeCell ref="S138:T138"/>
    <mergeCell ref="U138:V138"/>
    <mergeCell ref="AB138:AC138"/>
    <mergeCell ref="AB139:AC140"/>
    <mergeCell ref="AK113:AL137"/>
    <mergeCell ref="AF118:AJ118"/>
    <mergeCell ref="AF119:AJ119"/>
    <mergeCell ref="AB126:AC136"/>
    <mergeCell ref="AF126:AJ127"/>
    <mergeCell ref="AF129:AJ129"/>
    <mergeCell ref="AF136:AJ136"/>
    <mergeCell ref="C141:D141"/>
    <mergeCell ref="E141:F141"/>
    <mergeCell ref="G141:H141"/>
    <mergeCell ref="I141:J141"/>
    <mergeCell ref="K141:L141"/>
    <mergeCell ref="M141:N141"/>
    <mergeCell ref="AB137:AC137"/>
    <mergeCell ref="AF137:AJ137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O141:P141"/>
    <mergeCell ref="AB107:AC111"/>
    <mergeCell ref="K105:L105"/>
    <mergeCell ref="M105:N105"/>
    <mergeCell ref="O105:P105"/>
    <mergeCell ref="Q105:R105"/>
    <mergeCell ref="S105:T105"/>
    <mergeCell ref="U105:V105"/>
    <mergeCell ref="AF111:AJ111"/>
    <mergeCell ref="AB112:AC125"/>
    <mergeCell ref="AF112:AJ117"/>
    <mergeCell ref="U87:V87"/>
    <mergeCell ref="AB87:AC87"/>
    <mergeCell ref="AK87:AL112"/>
    <mergeCell ref="AB88:AC88"/>
    <mergeCell ref="AB90:AC90"/>
    <mergeCell ref="AB91:AC91"/>
    <mergeCell ref="AB92:AC92"/>
    <mergeCell ref="AB93:AC102"/>
    <mergeCell ref="AF93:AJ97"/>
    <mergeCell ref="AF98:AJ98"/>
    <mergeCell ref="AF100:AJ100"/>
    <mergeCell ref="AB103:AC103"/>
    <mergeCell ref="AF103:AJ107"/>
    <mergeCell ref="B104:AD104"/>
    <mergeCell ref="B105:B106"/>
    <mergeCell ref="C105:D105"/>
    <mergeCell ref="E105:F105"/>
    <mergeCell ref="G105:H105"/>
    <mergeCell ref="I105:J105"/>
    <mergeCell ref="W105:W106"/>
    <mergeCell ref="Y105:Y106"/>
    <mergeCell ref="Z105:Z106"/>
    <mergeCell ref="AA105:AA106"/>
    <mergeCell ref="AB105:AC105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B80:AC81"/>
    <mergeCell ref="AF80:AJ80"/>
    <mergeCell ref="AK80:AL86"/>
    <mergeCell ref="AF81:AJ81"/>
    <mergeCell ref="AB82:AC82"/>
    <mergeCell ref="AB83:AC83"/>
    <mergeCell ref="AB84:AC84"/>
    <mergeCell ref="AB85:AC85"/>
    <mergeCell ref="AB86:AC86"/>
    <mergeCell ref="AF71:AJ71"/>
    <mergeCell ref="AK71:AL78"/>
    <mergeCell ref="AF72:AJ72"/>
    <mergeCell ref="AB73:AC73"/>
    <mergeCell ref="AB74:AC75"/>
    <mergeCell ref="AF74:AJ74"/>
    <mergeCell ref="AF75:AJ75"/>
    <mergeCell ref="AB76:AC77"/>
    <mergeCell ref="AF76:AJ76"/>
    <mergeCell ref="AF77:AJ77"/>
    <mergeCell ref="AB78:AC79"/>
    <mergeCell ref="AF78:AJ78"/>
    <mergeCell ref="AF79:AJ79"/>
    <mergeCell ref="O70:P70"/>
    <mergeCell ref="Q70:R70"/>
    <mergeCell ref="S70:T70"/>
    <mergeCell ref="U70:V70"/>
    <mergeCell ref="AB70:AC70"/>
    <mergeCell ref="AB71:AC72"/>
    <mergeCell ref="C70:D70"/>
    <mergeCell ref="E70:F70"/>
    <mergeCell ref="G70:H70"/>
    <mergeCell ref="I70:J70"/>
    <mergeCell ref="K70:L70"/>
    <mergeCell ref="M70:N70"/>
    <mergeCell ref="AB62:AC67"/>
    <mergeCell ref="AF63:AJ63"/>
    <mergeCell ref="AF64:AJ64"/>
    <mergeCell ref="AB68:AC68"/>
    <mergeCell ref="AB69:AC69"/>
    <mergeCell ref="S60:T60"/>
    <mergeCell ref="U60:V60"/>
    <mergeCell ref="W60:W61"/>
    <mergeCell ref="Y60:Y61"/>
    <mergeCell ref="Z60:Z61"/>
    <mergeCell ref="AA60:AA61"/>
    <mergeCell ref="AB59:AC59"/>
    <mergeCell ref="B60:B61"/>
    <mergeCell ref="C60:D60"/>
    <mergeCell ref="E60:F60"/>
    <mergeCell ref="G60:H60"/>
    <mergeCell ref="I60:J60"/>
    <mergeCell ref="K60:L60"/>
    <mergeCell ref="M60:N60"/>
    <mergeCell ref="O60:P60"/>
    <mergeCell ref="Q60:R60"/>
    <mergeCell ref="AB60:AC60"/>
    <mergeCell ref="AF42:AJ42"/>
    <mergeCell ref="AF47:AJ47"/>
    <mergeCell ref="AB48:AC51"/>
    <mergeCell ref="AB54:AC54"/>
    <mergeCell ref="AB55:AC55"/>
    <mergeCell ref="AC57:AC58"/>
    <mergeCell ref="O40:P40"/>
    <mergeCell ref="Q40:R40"/>
    <mergeCell ref="S40:T40"/>
    <mergeCell ref="U40:V40"/>
    <mergeCell ref="AB40:AC40"/>
    <mergeCell ref="AB42:AC47"/>
    <mergeCell ref="AB32:AC32"/>
    <mergeCell ref="AB33:AC34"/>
    <mergeCell ref="AF33:AJ33"/>
    <mergeCell ref="AF34:AJ34"/>
    <mergeCell ref="AB23:AC23"/>
    <mergeCell ref="AB24:AC25"/>
    <mergeCell ref="AF24:AJ24"/>
    <mergeCell ref="C40:D40"/>
    <mergeCell ref="E40:F40"/>
    <mergeCell ref="G40:H40"/>
    <mergeCell ref="I40:J40"/>
    <mergeCell ref="K40:L40"/>
    <mergeCell ref="M40:N40"/>
    <mergeCell ref="AB35:AC35"/>
    <mergeCell ref="AB36:AC37"/>
    <mergeCell ref="AF36:AJ36"/>
    <mergeCell ref="AF37:AJ37"/>
    <mergeCell ref="AB38:AC38"/>
    <mergeCell ref="AB39:AC39"/>
    <mergeCell ref="Z4:Z8"/>
    <mergeCell ref="AC4:AC8"/>
    <mergeCell ref="AF4:AJ6"/>
    <mergeCell ref="AK4:AL21"/>
    <mergeCell ref="AF7:AJ7"/>
    <mergeCell ref="AB10:AB13"/>
    <mergeCell ref="AC10:AC20"/>
    <mergeCell ref="AF10:AJ14"/>
    <mergeCell ref="AK24:AL59"/>
    <mergeCell ref="AF25:AJ25"/>
    <mergeCell ref="AB26:AC26"/>
    <mergeCell ref="AB27:AC28"/>
    <mergeCell ref="AF27:AJ27"/>
    <mergeCell ref="AF28:AJ28"/>
    <mergeCell ref="AB29:AC29"/>
    <mergeCell ref="AB15:AB20"/>
    <mergeCell ref="AF15:AJ15"/>
    <mergeCell ref="AB21:AC21"/>
    <mergeCell ref="AF21:AJ21"/>
    <mergeCell ref="AB22:AC22"/>
    <mergeCell ref="AF22:AJ22"/>
    <mergeCell ref="AB30:AC31"/>
    <mergeCell ref="AF30:AJ30"/>
    <mergeCell ref="AF31:AJ31"/>
    <mergeCell ref="S2:T2"/>
    <mergeCell ref="U2:V2"/>
    <mergeCell ref="W2:W3"/>
    <mergeCell ref="X2:X3"/>
    <mergeCell ref="Y2:Y3"/>
    <mergeCell ref="Z2:Z3"/>
    <mergeCell ref="B1:AD1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AA2:AA3"/>
    <mergeCell ref="AB2:AC2"/>
  </mergeCells>
  <pageMargins left="1.1023622047244095" right="0.70866141732283472" top="0.74803149606299213" bottom="0.74803149606299213" header="0.31496062992125984" footer="0.31496062992125984"/>
  <pageSetup paperSize="5" scale="10" orientation="landscape" verticalDpi="0" r:id="rId1"/>
  <rowBreaks count="4" manualBreakCount="4">
    <brk id="39" min="1" max="40" man="1"/>
    <brk id="59" min="1" max="41" man="1"/>
    <brk id="103" min="1" max="40" man="1"/>
    <brk id="153" min="1" max="4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D61-1387-43E7-AAB8-12891EF5AEBF}">
  <dimension ref="A1:AN196"/>
  <sheetViews>
    <sheetView tabSelected="1" zoomScale="10" zoomScaleNormal="10" zoomScaleSheetLayoutView="10" workbookViewId="0">
      <selection activeCell="O17" sqref="O17"/>
    </sheetView>
  </sheetViews>
  <sheetFormatPr baseColWidth="10" defaultRowHeight="165" x14ac:dyDescent="2.35"/>
  <cols>
    <col min="1" max="1" width="18.5703125" customWidth="1"/>
    <col min="2" max="2" width="192" style="107" customWidth="1"/>
    <col min="3" max="22" width="58.7109375" style="54" customWidth="1"/>
    <col min="23" max="23" width="84.28515625" style="54" customWidth="1"/>
    <col min="24" max="24" width="95.7109375" style="125" customWidth="1"/>
    <col min="25" max="25" width="73" style="54" bestFit="1" customWidth="1"/>
    <col min="26" max="26" width="115.42578125" style="54" customWidth="1"/>
    <col min="27" max="27" width="177.5703125" style="110" customWidth="1"/>
    <col min="28" max="29" width="63" style="110" bestFit="1" customWidth="1"/>
    <col min="30" max="30" width="132" style="102" customWidth="1"/>
    <col min="31" max="31" width="33.28515625" style="102" customWidth="1"/>
    <col min="32" max="32" width="22.7109375" style="2" customWidth="1"/>
    <col min="33" max="33" width="32.5703125" style="2" customWidth="1"/>
    <col min="34" max="34" width="23.28515625" style="2" customWidth="1"/>
    <col min="35" max="35" width="11.42578125" style="2"/>
    <col min="36" max="36" width="35.28515625" style="2" customWidth="1"/>
    <col min="37" max="37" width="31.5703125" style="3" customWidth="1"/>
    <col min="38" max="38" width="11.42578125" style="3"/>
  </cols>
  <sheetData>
    <row r="1" spans="1:40" ht="126" customHeight="1" x14ac:dyDescent="2.35">
      <c r="B1" s="174" t="s">
        <v>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"/>
      <c r="AF1" s="1"/>
    </row>
    <row r="2" spans="1:40" s="4" customFormat="1" ht="138" customHeight="1" x14ac:dyDescent="2.35">
      <c r="B2" s="172" t="s">
        <v>1</v>
      </c>
      <c r="C2" s="142" t="s">
        <v>2</v>
      </c>
      <c r="D2" s="143"/>
      <c r="E2" s="142" t="s">
        <v>3</v>
      </c>
      <c r="F2" s="143"/>
      <c r="G2" s="142" t="s">
        <v>4</v>
      </c>
      <c r="H2" s="143"/>
      <c r="I2" s="142" t="s">
        <v>5</v>
      </c>
      <c r="J2" s="143"/>
      <c r="K2" s="142" t="s">
        <v>6</v>
      </c>
      <c r="L2" s="143"/>
      <c r="M2" s="142" t="s">
        <v>8</v>
      </c>
      <c r="N2" s="143"/>
      <c r="O2" s="142" t="s">
        <v>9</v>
      </c>
      <c r="P2" s="143"/>
      <c r="Q2" s="142" t="s">
        <v>10</v>
      </c>
      <c r="R2" s="143"/>
      <c r="S2" s="142" t="s">
        <v>11</v>
      </c>
      <c r="T2" s="143"/>
      <c r="U2" s="142" t="s">
        <v>12</v>
      </c>
      <c r="V2" s="143"/>
      <c r="W2" s="172" t="s">
        <v>13</v>
      </c>
      <c r="X2" s="247" t="s">
        <v>210</v>
      </c>
      <c r="Y2" s="172" t="s">
        <v>14</v>
      </c>
      <c r="Z2" s="172" t="s">
        <v>15</v>
      </c>
      <c r="AA2" s="172" t="s">
        <v>1</v>
      </c>
      <c r="AB2" s="148" t="s">
        <v>16</v>
      </c>
      <c r="AC2" s="149"/>
      <c r="AD2" s="6" t="s">
        <v>17</v>
      </c>
      <c r="AE2" s="7"/>
      <c r="AF2" s="2"/>
      <c r="AG2" s="2"/>
      <c r="AH2" s="2"/>
      <c r="AI2" s="2"/>
      <c r="AJ2" s="2"/>
      <c r="AK2" s="8"/>
      <c r="AL2" s="8"/>
    </row>
    <row r="3" spans="1:40" s="4" customFormat="1" ht="138" customHeight="1" thickBot="1" x14ac:dyDescent="2.4">
      <c r="B3" s="173"/>
      <c r="C3" s="9" t="s">
        <v>18</v>
      </c>
      <c r="D3" s="9" t="s">
        <v>19</v>
      </c>
      <c r="E3" s="9" t="s">
        <v>18</v>
      </c>
      <c r="F3" s="9" t="s">
        <v>19</v>
      </c>
      <c r="G3" s="9" t="s">
        <v>18</v>
      </c>
      <c r="H3" s="9" t="s">
        <v>19</v>
      </c>
      <c r="I3" s="9" t="s">
        <v>18</v>
      </c>
      <c r="J3" s="9" t="s">
        <v>19</v>
      </c>
      <c r="K3" s="9" t="s">
        <v>18</v>
      </c>
      <c r="L3" s="9" t="s">
        <v>19</v>
      </c>
      <c r="M3" s="9" t="s">
        <v>18</v>
      </c>
      <c r="N3" s="9" t="s">
        <v>19</v>
      </c>
      <c r="O3" s="9" t="s">
        <v>18</v>
      </c>
      <c r="P3" s="9" t="s">
        <v>19</v>
      </c>
      <c r="Q3" s="9" t="s">
        <v>18</v>
      </c>
      <c r="R3" s="9" t="s">
        <v>19</v>
      </c>
      <c r="S3" s="9" t="s">
        <v>18</v>
      </c>
      <c r="T3" s="9" t="s">
        <v>19</v>
      </c>
      <c r="U3" s="9" t="s">
        <v>18</v>
      </c>
      <c r="V3" s="9" t="s">
        <v>19</v>
      </c>
      <c r="W3" s="173"/>
      <c r="X3" s="248"/>
      <c r="Y3" s="173"/>
      <c r="Z3" s="173"/>
      <c r="AA3" s="173"/>
      <c r="AB3" s="10"/>
      <c r="AC3" s="11"/>
      <c r="AD3" s="6"/>
      <c r="AE3" s="7"/>
      <c r="AF3" s="2"/>
      <c r="AG3" s="2"/>
      <c r="AH3" s="2"/>
      <c r="AI3" s="2"/>
      <c r="AJ3" s="2"/>
      <c r="AK3" s="8"/>
      <c r="AL3" s="8"/>
    </row>
    <row r="4" spans="1:40" s="12" customFormat="1" ht="110.25" customHeight="1" x14ac:dyDescent="2.1">
      <c r="B4" s="13" t="s">
        <v>20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13">
        <v>0</v>
      </c>
      <c r="Y4" s="14">
        <f>SUM(C4,E4,G4,I4,K4,,M4,O4,Q4,S4,U4,W4)</f>
        <v>0</v>
      </c>
      <c r="Z4" s="244">
        <f>SUM(D9,F9,H9,J9,L9,,N9,P9,R9,T9,V9)</f>
        <v>0</v>
      </c>
      <c r="AA4" s="15" t="s">
        <v>20</v>
      </c>
      <c r="AC4" s="160">
        <f>SUM(Y4,AB5,AB6,AB7,AB8)</f>
        <v>0</v>
      </c>
      <c r="AD4" s="16">
        <f>X4</f>
        <v>0</v>
      </c>
      <c r="AE4" s="17"/>
      <c r="AF4" s="188" t="s">
        <v>21</v>
      </c>
      <c r="AG4" s="189"/>
      <c r="AH4" s="189"/>
      <c r="AI4" s="189"/>
      <c r="AJ4" s="190"/>
      <c r="AK4" s="237">
        <f>SUM(AD4:AD59)-AD20</f>
        <v>0</v>
      </c>
      <c r="AL4" s="238"/>
    </row>
    <row r="5" spans="1:40" s="12" customFormat="1" ht="110.25" customHeight="1" x14ac:dyDescent="2.1">
      <c r="B5" s="13" t="s">
        <v>22</v>
      </c>
      <c r="C5" s="19">
        <v>0</v>
      </c>
      <c r="D5" s="20"/>
      <c r="E5" s="19">
        <v>0</v>
      </c>
      <c r="F5" s="20"/>
      <c r="G5" s="19">
        <v>0</v>
      </c>
      <c r="H5" s="20"/>
      <c r="I5" s="19">
        <v>0</v>
      </c>
      <c r="J5" s="20"/>
      <c r="K5" s="19">
        <v>0</v>
      </c>
      <c r="L5" s="20"/>
      <c r="M5" s="19">
        <v>0</v>
      </c>
      <c r="N5" s="20"/>
      <c r="O5" s="19">
        <v>0</v>
      </c>
      <c r="P5" s="20"/>
      <c r="Q5" s="19">
        <v>0</v>
      </c>
      <c r="R5" s="20"/>
      <c r="S5" s="19">
        <v>0</v>
      </c>
      <c r="T5" s="20"/>
      <c r="U5" s="19">
        <v>0</v>
      </c>
      <c r="V5" s="20"/>
      <c r="W5" s="14">
        <v>0</v>
      </c>
      <c r="X5" s="113">
        <v>0</v>
      </c>
      <c r="Y5" s="14">
        <f>SUM(C5:W5)</f>
        <v>0</v>
      </c>
      <c r="Z5" s="245"/>
      <c r="AA5" s="13" t="s">
        <v>22</v>
      </c>
      <c r="AB5" s="21">
        <f>Y5*4</f>
        <v>0</v>
      </c>
      <c r="AC5" s="162"/>
      <c r="AD5" s="16">
        <f>X5</f>
        <v>0</v>
      </c>
      <c r="AE5" s="17"/>
      <c r="AF5" s="191"/>
      <c r="AG5" s="192"/>
      <c r="AH5" s="192"/>
      <c r="AI5" s="192"/>
      <c r="AJ5" s="193"/>
      <c r="AK5" s="239"/>
      <c r="AL5" s="238"/>
    </row>
    <row r="6" spans="1:40" s="12" customFormat="1" ht="110.25" customHeight="1" x14ac:dyDescent="2.1">
      <c r="B6" s="13" t="s">
        <v>23</v>
      </c>
      <c r="C6" s="19">
        <v>0</v>
      </c>
      <c r="D6" s="20"/>
      <c r="E6" s="19">
        <v>0</v>
      </c>
      <c r="F6" s="20"/>
      <c r="G6" s="19">
        <v>0</v>
      </c>
      <c r="H6" s="20"/>
      <c r="I6" s="19">
        <v>0</v>
      </c>
      <c r="J6" s="20"/>
      <c r="K6" s="19">
        <v>0</v>
      </c>
      <c r="L6" s="20"/>
      <c r="M6" s="19">
        <v>0</v>
      </c>
      <c r="N6" s="20"/>
      <c r="O6" s="19">
        <v>0</v>
      </c>
      <c r="P6" s="20"/>
      <c r="Q6" s="19">
        <v>0</v>
      </c>
      <c r="R6" s="20"/>
      <c r="S6" s="19">
        <v>0</v>
      </c>
      <c r="T6" s="20"/>
      <c r="U6" s="19">
        <v>0</v>
      </c>
      <c r="V6" s="20"/>
      <c r="W6" s="14">
        <v>0</v>
      </c>
      <c r="X6" s="113">
        <v>0</v>
      </c>
      <c r="Y6" s="14">
        <f>SUM(C6:W6)</f>
        <v>0</v>
      </c>
      <c r="Z6" s="245"/>
      <c r="AA6" s="15" t="s">
        <v>24</v>
      </c>
      <c r="AB6" s="21">
        <f>Y6*8</f>
        <v>0</v>
      </c>
      <c r="AC6" s="162"/>
      <c r="AD6" s="16">
        <f t="shared" ref="AD6:AD7" si="0">X6</f>
        <v>0</v>
      </c>
      <c r="AE6" s="17"/>
      <c r="AF6" s="191"/>
      <c r="AG6" s="192"/>
      <c r="AH6" s="192"/>
      <c r="AI6" s="192"/>
      <c r="AJ6" s="193"/>
      <c r="AK6" s="239"/>
      <c r="AL6" s="238"/>
    </row>
    <row r="7" spans="1:40" s="12" customFormat="1" ht="110.25" customHeight="1" x14ac:dyDescent="2.1">
      <c r="B7" s="13" t="s">
        <v>25</v>
      </c>
      <c r="C7" s="19">
        <v>0</v>
      </c>
      <c r="D7" s="20"/>
      <c r="E7" s="19">
        <v>0</v>
      </c>
      <c r="F7" s="20"/>
      <c r="G7" s="19">
        <v>0</v>
      </c>
      <c r="H7" s="20"/>
      <c r="I7" s="19">
        <v>0</v>
      </c>
      <c r="J7" s="20"/>
      <c r="K7" s="19">
        <v>0</v>
      </c>
      <c r="L7" s="20"/>
      <c r="M7" s="19">
        <v>0</v>
      </c>
      <c r="N7" s="20"/>
      <c r="O7" s="19">
        <v>0</v>
      </c>
      <c r="P7" s="20"/>
      <c r="Q7" s="19">
        <v>0</v>
      </c>
      <c r="R7" s="20"/>
      <c r="S7" s="19">
        <v>0</v>
      </c>
      <c r="T7" s="20"/>
      <c r="U7" s="19">
        <v>0</v>
      </c>
      <c r="V7" s="20"/>
      <c r="W7" s="14">
        <v>0</v>
      </c>
      <c r="X7" s="113">
        <v>0</v>
      </c>
      <c r="Y7" s="14">
        <f>SUM(C7:W7)</f>
        <v>0</v>
      </c>
      <c r="Z7" s="245"/>
      <c r="AA7" s="15" t="s">
        <v>26</v>
      </c>
      <c r="AB7" s="21">
        <f>Y7*12</f>
        <v>0</v>
      </c>
      <c r="AC7" s="162"/>
      <c r="AD7" s="16">
        <f t="shared" si="0"/>
        <v>0</v>
      </c>
      <c r="AE7" s="17"/>
      <c r="AF7" s="171">
        <f>SUM(AD4:AD8)</f>
        <v>0</v>
      </c>
      <c r="AG7" s="169"/>
      <c r="AH7" s="169"/>
      <c r="AI7" s="169"/>
      <c r="AJ7" s="170"/>
      <c r="AK7" s="239"/>
      <c r="AL7" s="238"/>
    </row>
    <row r="8" spans="1:40" s="12" customFormat="1" ht="146.25" x14ac:dyDescent="2.1">
      <c r="B8" s="13" t="s">
        <v>27</v>
      </c>
      <c r="C8" s="19">
        <v>0</v>
      </c>
      <c r="D8" s="20"/>
      <c r="E8" s="19">
        <v>0</v>
      </c>
      <c r="F8" s="20"/>
      <c r="G8" s="19">
        <v>0</v>
      </c>
      <c r="H8" s="20"/>
      <c r="I8" s="19">
        <v>0</v>
      </c>
      <c r="J8" s="20"/>
      <c r="K8" s="19">
        <v>0</v>
      </c>
      <c r="L8" s="20"/>
      <c r="M8" s="19">
        <v>0</v>
      </c>
      <c r="N8" s="20"/>
      <c r="O8" s="19">
        <v>0</v>
      </c>
      <c r="P8" s="20"/>
      <c r="Q8" s="19">
        <v>0</v>
      </c>
      <c r="R8" s="20"/>
      <c r="S8" s="19">
        <v>0</v>
      </c>
      <c r="T8" s="20"/>
      <c r="U8" s="19">
        <v>0</v>
      </c>
      <c r="V8" s="20"/>
      <c r="W8" s="14">
        <v>0</v>
      </c>
      <c r="X8" s="113">
        <v>0</v>
      </c>
      <c r="Y8" s="14">
        <f>SUM(C8:W8)</f>
        <v>0</v>
      </c>
      <c r="Z8" s="246"/>
      <c r="AA8" s="15" t="s">
        <v>28</v>
      </c>
      <c r="AB8" s="21">
        <f>Y8*16</f>
        <v>0</v>
      </c>
      <c r="AC8" s="164"/>
      <c r="AD8" s="16">
        <f>X8</f>
        <v>0</v>
      </c>
      <c r="AE8" s="17"/>
      <c r="AF8" s="26"/>
      <c r="AG8" s="27"/>
      <c r="AH8" s="27"/>
      <c r="AI8" s="27"/>
      <c r="AJ8" s="28"/>
      <c r="AK8" s="239"/>
      <c r="AL8" s="238"/>
      <c r="AM8" s="29"/>
      <c r="AN8" s="29"/>
    </row>
    <row r="9" spans="1:40" s="12" customFormat="1" ht="110.25" customHeight="1" thickBot="1" x14ac:dyDescent="2.15">
      <c r="B9" s="13"/>
      <c r="C9" s="30">
        <f>C4+(C5*4)+(C6*8)+(C7*12)+(C8*16)</f>
        <v>0</v>
      </c>
      <c r="D9" s="30">
        <f>D4</f>
        <v>0</v>
      </c>
      <c r="E9" s="30">
        <f>E4+(E5*4)+(E6*8)+(E7*12)+(E8*16)</f>
        <v>0</v>
      </c>
      <c r="F9" s="30">
        <f>F4</f>
        <v>0</v>
      </c>
      <c r="G9" s="30">
        <f>G4+(G5*4)+(G6*8)+(G7*12)+(G8*16)</f>
        <v>0</v>
      </c>
      <c r="H9" s="30">
        <f>H4</f>
        <v>0</v>
      </c>
      <c r="I9" s="30">
        <f>I4+(I5*4)+(I6*8)+(I7*12)+(I8*16)</f>
        <v>0</v>
      </c>
      <c r="J9" s="30">
        <f>J4</f>
        <v>0</v>
      </c>
      <c r="K9" s="30">
        <f>K4+(K5*4)+(K6*8)+(K7*12)+(K8*16)</f>
        <v>0</v>
      </c>
      <c r="L9" s="30">
        <f>L4</f>
        <v>0</v>
      </c>
      <c r="M9" s="30">
        <f>M4+(M5*4)+(M6*8)+(M7*12)+(M8*16)</f>
        <v>0</v>
      </c>
      <c r="N9" s="30">
        <f>N4</f>
        <v>0</v>
      </c>
      <c r="O9" s="30">
        <f>O4+(O5*4)+(O6*8)+(O7*12)+(O8*16)</f>
        <v>0</v>
      </c>
      <c r="P9" s="30">
        <f>P4</f>
        <v>0</v>
      </c>
      <c r="Q9" s="30">
        <f>Q4+(Q5*4)+(Q6*8)+(Q7*12)+(Q8*16)</f>
        <v>0</v>
      </c>
      <c r="R9" s="30">
        <f>R4</f>
        <v>0</v>
      </c>
      <c r="S9" s="30">
        <f>S4+(S5*4)+(S6*8)+(S7*12)+(S8*16)</f>
        <v>0</v>
      </c>
      <c r="T9" s="30">
        <f>T4</f>
        <v>0</v>
      </c>
      <c r="U9" s="30">
        <f>U4+(U5*4)+(U6*8)+(U7*12)+(U8*16)</f>
        <v>0</v>
      </c>
      <c r="V9" s="30">
        <f>V4</f>
        <v>0</v>
      </c>
      <c r="W9" s="30">
        <f>W4+(W5*4)+(W6*8)+(W7*12)+(W8*16)</f>
        <v>0</v>
      </c>
      <c r="X9" s="114"/>
      <c r="Y9" s="14"/>
      <c r="Z9" s="14"/>
      <c r="AA9" s="15"/>
      <c r="AB9" s="31"/>
      <c r="AC9" s="32"/>
      <c r="AD9" s="16">
        <f>X9</f>
        <v>0</v>
      </c>
      <c r="AE9" s="17"/>
      <c r="AF9" s="34"/>
      <c r="AG9" s="35"/>
      <c r="AH9" s="35"/>
      <c r="AI9" s="35"/>
      <c r="AJ9" s="36"/>
      <c r="AK9" s="239"/>
      <c r="AL9" s="238"/>
      <c r="AM9" s="29"/>
      <c r="AN9" s="29"/>
    </row>
    <row r="10" spans="1:40" s="29" customFormat="1" ht="110.25" customHeight="1" x14ac:dyDescent="2.1">
      <c r="B10" s="37" t="s">
        <v>29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13">
        <v>0</v>
      </c>
      <c r="Y10" s="14">
        <f>SUM(C10,E10,G10,I10,K10,,M10,O10,Q10,S10,U10,W10)</f>
        <v>0</v>
      </c>
      <c r="Z10" s="14">
        <f>SUM(D10,F10,H10,J10,L10,,N10,P10,R10,T10,V10)</f>
        <v>0</v>
      </c>
      <c r="AA10" s="38" t="s">
        <v>29</v>
      </c>
      <c r="AB10" s="240">
        <f>SUM(Y10:Y13)</f>
        <v>0</v>
      </c>
      <c r="AC10" s="226">
        <f>SUM(AB10,AB15)</f>
        <v>0</v>
      </c>
      <c r="AD10" s="16">
        <f>X10</f>
        <v>0</v>
      </c>
      <c r="AE10" s="17"/>
      <c r="AF10" s="165" t="s">
        <v>30</v>
      </c>
      <c r="AG10" s="166"/>
      <c r="AH10" s="166"/>
      <c r="AI10" s="166"/>
      <c r="AJ10" s="167"/>
      <c r="AK10" s="239"/>
      <c r="AL10" s="238"/>
      <c r="AM10" s="12"/>
      <c r="AN10" s="12"/>
    </row>
    <row r="11" spans="1:40" s="12" customFormat="1" ht="110.25" customHeight="1" x14ac:dyDescent="2.1">
      <c r="A11" s="12">
        <v>0</v>
      </c>
      <c r="B11" s="13" t="s">
        <v>31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13">
        <v>0</v>
      </c>
      <c r="Y11" s="14">
        <f>SUM(C11,E11,G11,I11,K11,,M11,O11,Q11,S11,U11,W11)</f>
        <v>0</v>
      </c>
      <c r="Z11" s="14">
        <f>SUM(D11,F11,H11,J11,L11,,N11,P11,R11,T11,V11)</f>
        <v>0</v>
      </c>
      <c r="AA11" s="13" t="s">
        <v>31</v>
      </c>
      <c r="AB11" s="241"/>
      <c r="AC11" s="243"/>
      <c r="AD11" s="16">
        <f t="shared" ref="AD11:AD13" si="1">X11</f>
        <v>0</v>
      </c>
      <c r="AE11" s="17"/>
      <c r="AF11" s="168"/>
      <c r="AG11" s="169"/>
      <c r="AH11" s="169"/>
      <c r="AI11" s="169"/>
      <c r="AJ11" s="170"/>
      <c r="AK11" s="239"/>
      <c r="AL11" s="238"/>
    </row>
    <row r="12" spans="1:40" s="12" customFormat="1" ht="108.75" customHeight="1" x14ac:dyDescent="2.1">
      <c r="B12" s="13" t="s">
        <v>32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13">
        <v>0</v>
      </c>
      <c r="Y12" s="14">
        <f>SUM(C12,E12,G12,I12,K12,,M12,O12,Q12,S12,U12,W12)</f>
        <v>0</v>
      </c>
      <c r="Z12" s="14">
        <f>SUM(D12,F12,H12,J12,L12,,N12,P12,R12,T12,V12)</f>
        <v>0</v>
      </c>
      <c r="AA12" s="13" t="s">
        <v>32</v>
      </c>
      <c r="AB12" s="241"/>
      <c r="AC12" s="243"/>
      <c r="AD12" s="16">
        <f t="shared" si="1"/>
        <v>0</v>
      </c>
      <c r="AE12" s="17"/>
      <c r="AF12" s="168"/>
      <c r="AG12" s="169"/>
      <c r="AH12" s="169"/>
      <c r="AI12" s="169"/>
      <c r="AJ12" s="170"/>
      <c r="AK12" s="239"/>
      <c r="AL12" s="238"/>
    </row>
    <row r="13" spans="1:40" s="12" customFormat="1" ht="110.25" customHeight="1" x14ac:dyDescent="2.1">
      <c r="B13" s="13" t="s">
        <v>33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13">
        <v>0</v>
      </c>
      <c r="Y13" s="14">
        <f>SUM(C13,E13,G13,I13,K13,,M13,O13,Q13,S13,U13,W13)</f>
        <v>0</v>
      </c>
      <c r="Z13" s="14">
        <f>SUM(D13,F13,H13,J13,L13,,N13,P13,R13,T13,V13)</f>
        <v>0</v>
      </c>
      <c r="AA13" s="13" t="s">
        <v>33</v>
      </c>
      <c r="AB13" s="242"/>
      <c r="AC13" s="243"/>
      <c r="AD13" s="16">
        <f t="shared" si="1"/>
        <v>0</v>
      </c>
      <c r="AE13" s="17"/>
      <c r="AF13" s="168"/>
      <c r="AG13" s="169"/>
      <c r="AH13" s="169"/>
      <c r="AI13" s="169"/>
      <c r="AJ13" s="170"/>
      <c r="AK13" s="239"/>
      <c r="AL13" s="238"/>
    </row>
    <row r="14" spans="1:40" s="12" customFormat="1" ht="110.25" customHeight="1" x14ac:dyDescent="2.1">
      <c r="B14" s="13"/>
      <c r="C14" s="40">
        <f>SUM(C10:C13)</f>
        <v>0</v>
      </c>
      <c r="D14" s="30">
        <f t="shared" ref="D14:W14" si="2">SUM(D10:D13)</f>
        <v>0</v>
      </c>
      <c r="E14" s="30">
        <f t="shared" si="2"/>
        <v>0</v>
      </c>
      <c r="F14" s="30">
        <f>SUM(F10:F13)</f>
        <v>0</v>
      </c>
      <c r="G14" s="30">
        <f t="shared" si="2"/>
        <v>0</v>
      </c>
      <c r="H14" s="30">
        <f t="shared" si="2"/>
        <v>0</v>
      </c>
      <c r="I14" s="30">
        <f t="shared" si="2"/>
        <v>0</v>
      </c>
      <c r="J14" s="30">
        <f t="shared" si="2"/>
        <v>0</v>
      </c>
      <c r="K14" s="30">
        <f t="shared" si="2"/>
        <v>0</v>
      </c>
      <c r="L14" s="30">
        <f t="shared" si="2"/>
        <v>0</v>
      </c>
      <c r="M14" s="30">
        <f t="shared" si="2"/>
        <v>0</v>
      </c>
      <c r="N14" s="30">
        <f t="shared" si="2"/>
        <v>0</v>
      </c>
      <c r="O14" s="30">
        <f t="shared" si="2"/>
        <v>0</v>
      </c>
      <c r="P14" s="30">
        <f t="shared" si="2"/>
        <v>0</v>
      </c>
      <c r="Q14" s="30">
        <f t="shared" si="2"/>
        <v>0</v>
      </c>
      <c r="R14" s="30">
        <f t="shared" si="2"/>
        <v>0</v>
      </c>
      <c r="S14" s="30">
        <f t="shared" si="2"/>
        <v>0</v>
      </c>
      <c r="T14" s="30">
        <f t="shared" si="2"/>
        <v>0</v>
      </c>
      <c r="U14" s="30">
        <f t="shared" si="2"/>
        <v>0</v>
      </c>
      <c r="V14" s="30">
        <f t="shared" si="2"/>
        <v>0</v>
      </c>
      <c r="W14" s="30">
        <f t="shared" si="2"/>
        <v>0</v>
      </c>
      <c r="X14" s="114"/>
      <c r="Y14" s="14"/>
      <c r="Z14" s="41"/>
      <c r="AA14" s="42"/>
      <c r="AB14" s="13"/>
      <c r="AC14" s="243"/>
      <c r="AD14" s="33"/>
      <c r="AE14" s="17"/>
      <c r="AF14" s="168"/>
      <c r="AG14" s="169"/>
      <c r="AH14" s="169"/>
      <c r="AI14" s="169"/>
      <c r="AJ14" s="170"/>
      <c r="AK14" s="239"/>
      <c r="AL14" s="238"/>
    </row>
    <row r="15" spans="1:40" s="12" customFormat="1" ht="110.25" customHeight="1" x14ac:dyDescent="2.1">
      <c r="B15" s="13" t="s">
        <v>34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115">
        <v>0</v>
      </c>
      <c r="Y15" s="14">
        <f t="shared" ref="Y15:Y20" si="3">SUM(C15,E15,G15,I15,K15,,M15,O15,Q15,S15,U15,W15)</f>
        <v>0</v>
      </c>
      <c r="Z15" s="14">
        <f t="shared" ref="Z15:Z20" si="4">SUM(D15,F15,H15,J15,L15,,N15,P15,R15,T15,V15)</f>
        <v>0</v>
      </c>
      <c r="AA15" s="13" t="s">
        <v>34</v>
      </c>
      <c r="AB15" s="240">
        <f>SUM(Y15:Y18)</f>
        <v>0</v>
      </c>
      <c r="AC15" s="243"/>
      <c r="AD15" s="16">
        <f>X15</f>
        <v>0</v>
      </c>
      <c r="AE15" s="17"/>
      <c r="AF15" s="171">
        <f>SUM(AD10:AD20)-AD20</f>
        <v>0</v>
      </c>
      <c r="AG15" s="169"/>
      <c r="AH15" s="169"/>
      <c r="AI15" s="169"/>
      <c r="AJ15" s="170"/>
      <c r="AK15" s="239"/>
      <c r="AL15" s="238"/>
    </row>
    <row r="16" spans="1:40" s="12" customFormat="1" ht="110.25" customHeight="1" x14ac:dyDescent="2.1">
      <c r="B16" s="13" t="s">
        <v>35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116">
        <v>0</v>
      </c>
      <c r="Y16" s="14">
        <f t="shared" si="3"/>
        <v>0</v>
      </c>
      <c r="Z16" s="14">
        <f t="shared" si="4"/>
        <v>0</v>
      </c>
      <c r="AA16" s="13" t="s">
        <v>35</v>
      </c>
      <c r="AB16" s="241"/>
      <c r="AC16" s="243"/>
      <c r="AD16" s="16">
        <f t="shared" ref="AD16:AD20" si="5">X16</f>
        <v>0</v>
      </c>
      <c r="AE16" s="17"/>
      <c r="AF16" s="26"/>
      <c r="AG16" s="27"/>
      <c r="AH16" s="27"/>
      <c r="AI16" s="27"/>
      <c r="AJ16" s="28"/>
      <c r="AK16" s="239"/>
      <c r="AL16" s="238"/>
    </row>
    <row r="17" spans="1:38" s="12" customFormat="1" ht="110.25" customHeight="1" x14ac:dyDescent="2.1">
      <c r="B17" s="13" t="s">
        <v>36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116">
        <v>0</v>
      </c>
      <c r="Y17" s="14">
        <f t="shared" si="3"/>
        <v>0</v>
      </c>
      <c r="Z17" s="14">
        <f t="shared" si="4"/>
        <v>0</v>
      </c>
      <c r="AA17" s="13" t="s">
        <v>36</v>
      </c>
      <c r="AB17" s="241"/>
      <c r="AC17" s="243"/>
      <c r="AD17" s="16">
        <f t="shared" si="5"/>
        <v>0</v>
      </c>
      <c r="AE17" s="17"/>
      <c r="AF17" s="26"/>
      <c r="AG17" s="27"/>
      <c r="AH17" s="27"/>
      <c r="AI17" s="27"/>
      <c r="AJ17" s="28"/>
      <c r="AK17" s="239"/>
      <c r="AL17" s="238"/>
    </row>
    <row r="18" spans="1:38" s="12" customFormat="1" ht="110.25" customHeight="1" x14ac:dyDescent="2.1">
      <c r="B18" s="13" t="s">
        <v>37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115">
        <v>0</v>
      </c>
      <c r="Y18" s="14">
        <f t="shared" si="3"/>
        <v>0</v>
      </c>
      <c r="Z18" s="14">
        <f t="shared" si="4"/>
        <v>0</v>
      </c>
      <c r="AA18" s="13" t="s">
        <v>37</v>
      </c>
      <c r="AB18" s="241"/>
      <c r="AC18" s="243"/>
      <c r="AD18" s="16">
        <f t="shared" si="5"/>
        <v>0</v>
      </c>
      <c r="AE18" s="17"/>
      <c r="AF18" s="26"/>
      <c r="AG18" s="27"/>
      <c r="AH18" s="27"/>
      <c r="AI18" s="27"/>
      <c r="AJ18" s="28"/>
      <c r="AK18" s="239"/>
      <c r="AL18" s="238"/>
    </row>
    <row r="19" spans="1:38" s="12" customFormat="1" ht="110.25" customHeight="1" x14ac:dyDescent="2.1">
      <c r="B19" s="13" t="s">
        <v>38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116">
        <v>0</v>
      </c>
      <c r="Y19" s="14">
        <f t="shared" si="3"/>
        <v>0</v>
      </c>
      <c r="Z19" s="14">
        <f t="shared" si="4"/>
        <v>0</v>
      </c>
      <c r="AA19" s="13" t="s">
        <v>38</v>
      </c>
      <c r="AB19" s="241"/>
      <c r="AC19" s="243"/>
      <c r="AD19" s="16">
        <f t="shared" si="5"/>
        <v>0</v>
      </c>
      <c r="AE19" s="17"/>
      <c r="AF19" s="26"/>
      <c r="AG19" s="27"/>
      <c r="AH19" s="27"/>
      <c r="AI19" s="27"/>
      <c r="AJ19" s="28"/>
      <c r="AK19" s="239"/>
      <c r="AL19" s="238"/>
    </row>
    <row r="20" spans="1:38" s="12" customFormat="1" ht="110.25" customHeight="1" thickBot="1" x14ac:dyDescent="2.15">
      <c r="B20" s="13" t="s">
        <v>39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115">
        <v>0</v>
      </c>
      <c r="Y20" s="14">
        <f t="shared" si="3"/>
        <v>0</v>
      </c>
      <c r="Z20" s="14">
        <f t="shared" si="4"/>
        <v>0</v>
      </c>
      <c r="AA20" s="13" t="s">
        <v>39</v>
      </c>
      <c r="AB20" s="242"/>
      <c r="AC20" s="227"/>
      <c r="AD20" s="16">
        <f t="shared" si="5"/>
        <v>0</v>
      </c>
      <c r="AE20" s="17"/>
      <c r="AF20" s="26"/>
      <c r="AG20" s="27"/>
      <c r="AH20" s="27"/>
      <c r="AI20" s="27"/>
      <c r="AJ20" s="28"/>
      <c r="AK20" s="239"/>
      <c r="AL20" s="238"/>
    </row>
    <row r="21" spans="1:38" s="12" customFormat="1" ht="110.25" customHeight="1" x14ac:dyDescent="2.1">
      <c r="B21" s="13"/>
      <c r="C21" s="30">
        <f>SUM(C15:C20)</f>
        <v>0</v>
      </c>
      <c r="D21" s="30">
        <f t="shared" ref="D21:V21" si="6">SUM(D15:D20)</f>
        <v>0</v>
      </c>
      <c r="E21" s="30">
        <f t="shared" si="6"/>
        <v>0</v>
      </c>
      <c r="F21" s="30">
        <f t="shared" si="6"/>
        <v>0</v>
      </c>
      <c r="G21" s="30">
        <f t="shared" si="6"/>
        <v>0</v>
      </c>
      <c r="H21" s="30">
        <f t="shared" si="6"/>
        <v>0</v>
      </c>
      <c r="I21" s="30">
        <f t="shared" si="6"/>
        <v>0</v>
      </c>
      <c r="J21" s="30">
        <f t="shared" si="6"/>
        <v>0</v>
      </c>
      <c r="K21" s="30">
        <f t="shared" si="6"/>
        <v>0</v>
      </c>
      <c r="L21" s="30">
        <f t="shared" si="6"/>
        <v>0</v>
      </c>
      <c r="M21" s="30">
        <f t="shared" si="6"/>
        <v>0</v>
      </c>
      <c r="N21" s="30">
        <f t="shared" si="6"/>
        <v>0</v>
      </c>
      <c r="O21" s="30">
        <f t="shared" si="6"/>
        <v>0</v>
      </c>
      <c r="P21" s="30">
        <f t="shared" si="6"/>
        <v>0</v>
      </c>
      <c r="Q21" s="30">
        <f t="shared" si="6"/>
        <v>0</v>
      </c>
      <c r="R21" s="30">
        <f t="shared" si="6"/>
        <v>0</v>
      </c>
      <c r="S21" s="30">
        <f t="shared" si="6"/>
        <v>0</v>
      </c>
      <c r="T21" s="30">
        <f t="shared" si="6"/>
        <v>0</v>
      </c>
      <c r="U21" s="30">
        <f t="shared" si="6"/>
        <v>0</v>
      </c>
      <c r="V21" s="30">
        <f t="shared" si="6"/>
        <v>0</v>
      </c>
      <c r="W21" s="30">
        <f>SUM(W15:W20)</f>
        <v>0</v>
      </c>
      <c r="X21" s="114"/>
      <c r="Y21" s="14"/>
      <c r="Z21" s="14"/>
      <c r="AA21" s="42"/>
      <c r="AB21" s="200"/>
      <c r="AC21" s="201"/>
      <c r="AD21" s="33"/>
      <c r="AE21" s="17"/>
      <c r="AF21" s="165" t="s">
        <v>40</v>
      </c>
      <c r="AG21" s="166"/>
      <c r="AH21" s="166"/>
      <c r="AI21" s="166"/>
      <c r="AJ21" s="167"/>
      <c r="AK21" s="239"/>
      <c r="AL21" s="238"/>
    </row>
    <row r="22" spans="1:38" s="12" customFormat="1" ht="110.25" customHeight="1" x14ac:dyDescent="2.1">
      <c r="B22" s="13" t="s">
        <v>41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17">
        <v>0</v>
      </c>
      <c r="Y22" s="14">
        <f>SUM(C22,E22,G22,I22,K22,,M22,O22,Q22,S22,U22,W22)</f>
        <v>0</v>
      </c>
      <c r="Z22" s="14">
        <f>SUM(D22,F22,H22,J22,L22,,N22,P22,R22,T22,V22)</f>
        <v>0</v>
      </c>
      <c r="AA22" s="13" t="s">
        <v>41</v>
      </c>
      <c r="AB22" s="224"/>
      <c r="AC22" s="225"/>
      <c r="AD22" s="16">
        <f>X22</f>
        <v>0</v>
      </c>
      <c r="AE22" s="17"/>
      <c r="AF22" s="228">
        <f>SUM(AD22:AE22)</f>
        <v>0</v>
      </c>
      <c r="AG22" s="229"/>
      <c r="AH22" s="229"/>
      <c r="AI22" s="229"/>
      <c r="AJ22" s="230"/>
      <c r="AK22" s="22"/>
      <c r="AL22" s="18"/>
    </row>
    <row r="23" spans="1:38" s="12" customFormat="1" ht="110.25" customHeight="1" thickBot="1" x14ac:dyDescent="2.15">
      <c r="B23" s="13"/>
      <c r="C23" s="30">
        <f>SUM(C22)</f>
        <v>0</v>
      </c>
      <c r="D23" s="30">
        <f t="shared" ref="D23:W23" si="7">SUM(D22)</f>
        <v>0</v>
      </c>
      <c r="E23" s="30">
        <f t="shared" si="7"/>
        <v>0</v>
      </c>
      <c r="F23" s="30">
        <f t="shared" si="7"/>
        <v>0</v>
      </c>
      <c r="G23" s="30">
        <f t="shared" si="7"/>
        <v>0</v>
      </c>
      <c r="H23" s="30">
        <f t="shared" si="7"/>
        <v>0</v>
      </c>
      <c r="I23" s="30">
        <f t="shared" si="7"/>
        <v>0</v>
      </c>
      <c r="J23" s="30">
        <f t="shared" si="7"/>
        <v>0</v>
      </c>
      <c r="K23" s="30">
        <f t="shared" si="7"/>
        <v>0</v>
      </c>
      <c r="L23" s="30">
        <f t="shared" si="7"/>
        <v>0</v>
      </c>
      <c r="M23" s="30">
        <f t="shared" si="7"/>
        <v>0</v>
      </c>
      <c r="N23" s="30">
        <f t="shared" si="7"/>
        <v>0</v>
      </c>
      <c r="O23" s="30">
        <f t="shared" si="7"/>
        <v>0</v>
      </c>
      <c r="P23" s="30">
        <f t="shared" si="7"/>
        <v>0</v>
      </c>
      <c r="Q23" s="30">
        <f t="shared" si="7"/>
        <v>0</v>
      </c>
      <c r="R23" s="30">
        <f t="shared" si="7"/>
        <v>0</v>
      </c>
      <c r="S23" s="30">
        <f t="shared" si="7"/>
        <v>0</v>
      </c>
      <c r="T23" s="30">
        <f t="shared" si="7"/>
        <v>0</v>
      </c>
      <c r="U23" s="30">
        <f t="shared" si="7"/>
        <v>0</v>
      </c>
      <c r="V23" s="30">
        <f t="shared" si="7"/>
        <v>0</v>
      </c>
      <c r="W23" s="30">
        <f t="shared" si="7"/>
        <v>0</v>
      </c>
      <c r="X23" s="114"/>
      <c r="Y23" s="14"/>
      <c r="Z23" s="14"/>
      <c r="AA23" s="42"/>
      <c r="AB23" s="154"/>
      <c r="AC23" s="155"/>
      <c r="AD23" s="16">
        <f t="shared" ref="AD23:AD39" si="8">X23</f>
        <v>0</v>
      </c>
      <c r="AE23" s="17"/>
      <c r="AF23" s="34"/>
      <c r="AG23" s="35"/>
      <c r="AH23" s="35"/>
      <c r="AI23" s="35"/>
      <c r="AJ23" s="36"/>
      <c r="AK23" s="22"/>
      <c r="AL23" s="18"/>
    </row>
    <row r="24" spans="1:38" s="12" customFormat="1" ht="110.25" customHeight="1" x14ac:dyDescent="2.1">
      <c r="A24" s="12">
        <v>0</v>
      </c>
      <c r="B24" s="13" t="s">
        <v>42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13">
        <v>0</v>
      </c>
      <c r="Y24" s="14">
        <f>SUM(C24,E24,G24,I24,K24,,M24,O24,Q24,S24,U24,W24)</f>
        <v>0</v>
      </c>
      <c r="Z24" s="14">
        <f>SUM(D24,F24,H24,J24,L24,,N24,P24,R24,T24,V24)</f>
        <v>0</v>
      </c>
      <c r="AA24" s="13" t="s">
        <v>42</v>
      </c>
      <c r="AB24" s="176">
        <f>SUM(Y24:Y25)</f>
        <v>0</v>
      </c>
      <c r="AC24" s="177"/>
      <c r="AD24" s="16">
        <f t="shared" si="8"/>
        <v>0</v>
      </c>
      <c r="AE24" s="17"/>
      <c r="AF24" s="182" t="s">
        <v>43</v>
      </c>
      <c r="AG24" s="183"/>
      <c r="AH24" s="183"/>
      <c r="AI24" s="183"/>
      <c r="AJ24" s="231"/>
      <c r="AK24" s="232" t="s">
        <v>44</v>
      </c>
      <c r="AL24" s="233"/>
    </row>
    <row r="25" spans="1:38" s="12" customFormat="1" ht="110.25" customHeight="1" thickBot="1" x14ac:dyDescent="2.15">
      <c r="A25" s="12">
        <v>0</v>
      </c>
      <c r="B25" s="13" t="s">
        <v>45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13">
        <v>0</v>
      </c>
      <c r="Y25" s="14">
        <f>SUM(C25,E25,G25,I25,K25,,M25,O25,Q25,S25,U25,W25)</f>
        <v>0</v>
      </c>
      <c r="Z25" s="14">
        <f>SUM(D25,F25,H25,J25,L25,,N25,P25,R25,T25,V25)</f>
        <v>0</v>
      </c>
      <c r="AA25" s="13" t="s">
        <v>45</v>
      </c>
      <c r="AB25" s="178"/>
      <c r="AC25" s="179"/>
      <c r="AD25" s="16">
        <f t="shared" si="8"/>
        <v>0</v>
      </c>
      <c r="AE25" s="17"/>
      <c r="AF25" s="204">
        <f>SUM(AD24:AD25)</f>
        <v>0</v>
      </c>
      <c r="AG25" s="235"/>
      <c r="AH25" s="235"/>
      <c r="AI25" s="235"/>
      <c r="AJ25" s="236"/>
      <c r="AK25" s="232"/>
      <c r="AL25" s="233"/>
    </row>
    <row r="26" spans="1:38" s="12" customFormat="1" ht="110.25" customHeight="1" thickBot="1" x14ac:dyDescent="2.15">
      <c r="B26" s="13"/>
      <c r="C26" s="30">
        <f t="shared" ref="C26:W26" si="9">SUM(C24:C25)</f>
        <v>0</v>
      </c>
      <c r="D26" s="30">
        <f t="shared" si="9"/>
        <v>0</v>
      </c>
      <c r="E26" s="30">
        <f t="shared" si="9"/>
        <v>0</v>
      </c>
      <c r="F26" s="30">
        <f t="shared" si="9"/>
        <v>0</v>
      </c>
      <c r="G26" s="30">
        <f t="shared" si="9"/>
        <v>0</v>
      </c>
      <c r="H26" s="30">
        <f t="shared" si="9"/>
        <v>0</v>
      </c>
      <c r="I26" s="30">
        <f t="shared" si="9"/>
        <v>0</v>
      </c>
      <c r="J26" s="30">
        <f t="shared" si="9"/>
        <v>0</v>
      </c>
      <c r="K26" s="30">
        <f t="shared" si="9"/>
        <v>0</v>
      </c>
      <c r="L26" s="30">
        <f t="shared" si="9"/>
        <v>0</v>
      </c>
      <c r="M26" s="30">
        <f t="shared" si="9"/>
        <v>0</v>
      </c>
      <c r="N26" s="30">
        <f t="shared" si="9"/>
        <v>0</v>
      </c>
      <c r="O26" s="30">
        <f t="shared" si="9"/>
        <v>0</v>
      </c>
      <c r="P26" s="30">
        <f t="shared" si="9"/>
        <v>0</v>
      </c>
      <c r="Q26" s="30">
        <f t="shared" si="9"/>
        <v>0</v>
      </c>
      <c r="R26" s="30">
        <f t="shared" si="9"/>
        <v>0</v>
      </c>
      <c r="S26" s="30">
        <f t="shared" si="9"/>
        <v>0</v>
      </c>
      <c r="T26" s="30">
        <f t="shared" si="9"/>
        <v>0</v>
      </c>
      <c r="U26" s="30">
        <f t="shared" si="9"/>
        <v>0</v>
      </c>
      <c r="V26" s="30">
        <f t="shared" si="9"/>
        <v>0</v>
      </c>
      <c r="W26" s="30">
        <f t="shared" si="9"/>
        <v>0</v>
      </c>
      <c r="X26" s="114"/>
      <c r="Y26" s="14"/>
      <c r="Z26" s="14"/>
      <c r="AA26" s="13"/>
      <c r="AB26" s="154"/>
      <c r="AC26" s="155"/>
      <c r="AD26" s="16">
        <f t="shared" si="8"/>
        <v>0</v>
      </c>
      <c r="AE26" s="17"/>
      <c r="AF26" s="44"/>
      <c r="AG26" s="45"/>
      <c r="AH26" s="45"/>
      <c r="AI26" s="45"/>
      <c r="AJ26" s="46"/>
      <c r="AK26" s="232"/>
      <c r="AL26" s="233"/>
    </row>
    <row r="27" spans="1:38" s="12" customFormat="1" ht="110.25" customHeight="1" x14ac:dyDescent="2.1">
      <c r="A27" s="12">
        <v>0</v>
      </c>
      <c r="B27" s="13" t="s">
        <v>46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13">
        <v>0</v>
      </c>
      <c r="Y27" s="14">
        <f>SUM(C27,E27,G27,I27,K27,,M27,O27,Q27,S27,U27,W27)</f>
        <v>0</v>
      </c>
      <c r="Z27" s="14">
        <f>SUM(D27,F27,H27,J27,L27,,N27,P27,R27,T27,V27)</f>
        <v>0</v>
      </c>
      <c r="AA27" s="13" t="s">
        <v>46</v>
      </c>
      <c r="AB27" s="176">
        <f>SUM(Y26:Y28)</f>
        <v>0</v>
      </c>
      <c r="AC27" s="177"/>
      <c r="AD27" s="16">
        <f t="shared" si="8"/>
        <v>0</v>
      </c>
      <c r="AE27" s="17"/>
      <c r="AF27" s="182" t="s">
        <v>47</v>
      </c>
      <c r="AG27" s="183"/>
      <c r="AH27" s="183"/>
      <c r="AI27" s="183"/>
      <c r="AJ27" s="231"/>
      <c r="AK27" s="232"/>
      <c r="AL27" s="233"/>
    </row>
    <row r="28" spans="1:38" s="12" customFormat="1" ht="110.25" customHeight="1" thickBot="1" x14ac:dyDescent="2.15">
      <c r="A28" s="12">
        <v>0</v>
      </c>
      <c r="B28" s="13" t="s">
        <v>48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13">
        <v>0</v>
      </c>
      <c r="Y28" s="14">
        <f>SUM(C28,E28,G28,I28,K28,,M28,O28,Q28,S28,U28,W28)</f>
        <v>0</v>
      </c>
      <c r="Z28" s="14">
        <f>SUM(D28,F28,H28,J28,L28,,N28,P28,R28,T28,V28)</f>
        <v>0</v>
      </c>
      <c r="AA28" s="13" t="s">
        <v>48</v>
      </c>
      <c r="AB28" s="178"/>
      <c r="AC28" s="179"/>
      <c r="AD28" s="16">
        <f t="shared" si="8"/>
        <v>0</v>
      </c>
      <c r="AE28" s="17"/>
      <c r="AF28" s="204">
        <f>+AD27+AD31</f>
        <v>0</v>
      </c>
      <c r="AG28" s="235"/>
      <c r="AH28" s="235"/>
      <c r="AI28" s="235"/>
      <c r="AJ28" s="236"/>
      <c r="AK28" s="232"/>
      <c r="AL28" s="233"/>
    </row>
    <row r="29" spans="1:38" s="12" customFormat="1" ht="110.25" customHeight="1" thickBot="1" x14ac:dyDescent="2.15">
      <c r="B29" s="13"/>
      <c r="C29" s="30">
        <f t="shared" ref="C29:W29" si="10">SUM(C27:C28)</f>
        <v>0</v>
      </c>
      <c r="D29" s="30">
        <f t="shared" si="10"/>
        <v>0</v>
      </c>
      <c r="E29" s="30">
        <f t="shared" si="10"/>
        <v>0</v>
      </c>
      <c r="F29" s="30">
        <f t="shared" si="10"/>
        <v>0</v>
      </c>
      <c r="G29" s="30">
        <f t="shared" si="10"/>
        <v>0</v>
      </c>
      <c r="H29" s="30">
        <f t="shared" si="10"/>
        <v>0</v>
      </c>
      <c r="I29" s="30">
        <f t="shared" si="10"/>
        <v>0</v>
      </c>
      <c r="J29" s="30">
        <f t="shared" si="10"/>
        <v>0</v>
      </c>
      <c r="K29" s="30">
        <f t="shared" si="10"/>
        <v>0</v>
      </c>
      <c r="L29" s="30">
        <f t="shared" si="10"/>
        <v>0</v>
      </c>
      <c r="M29" s="30">
        <f t="shared" si="10"/>
        <v>0</v>
      </c>
      <c r="N29" s="30">
        <f t="shared" si="10"/>
        <v>0</v>
      </c>
      <c r="O29" s="30">
        <f t="shared" si="10"/>
        <v>0</v>
      </c>
      <c r="P29" s="30">
        <f t="shared" si="10"/>
        <v>0</v>
      </c>
      <c r="Q29" s="30">
        <f t="shared" si="10"/>
        <v>0</v>
      </c>
      <c r="R29" s="30">
        <f t="shared" si="10"/>
        <v>0</v>
      </c>
      <c r="S29" s="30">
        <f t="shared" si="10"/>
        <v>0</v>
      </c>
      <c r="T29" s="30">
        <f t="shared" si="10"/>
        <v>0</v>
      </c>
      <c r="U29" s="30">
        <f t="shared" si="10"/>
        <v>0</v>
      </c>
      <c r="V29" s="30">
        <f t="shared" si="10"/>
        <v>0</v>
      </c>
      <c r="W29" s="30">
        <f t="shared" si="10"/>
        <v>0</v>
      </c>
      <c r="X29" s="114"/>
      <c r="Y29" s="14"/>
      <c r="Z29" s="14"/>
      <c r="AA29" s="13"/>
      <c r="AB29" s="154"/>
      <c r="AC29" s="155"/>
      <c r="AD29" s="16">
        <f t="shared" si="8"/>
        <v>0</v>
      </c>
      <c r="AE29" s="17"/>
      <c r="AF29" s="44"/>
      <c r="AG29" s="45"/>
      <c r="AH29" s="45"/>
      <c r="AI29" s="45"/>
      <c r="AJ29" s="45"/>
      <c r="AK29" s="232"/>
      <c r="AL29" s="233"/>
    </row>
    <row r="30" spans="1:38" s="12" customFormat="1" ht="110.25" customHeight="1" x14ac:dyDescent="2.1">
      <c r="A30" s="12">
        <v>0</v>
      </c>
      <c r="B30" s="13" t="s">
        <v>49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13">
        <v>0</v>
      </c>
      <c r="Y30" s="14">
        <f>SUM(C30,E30,G30,I30,K30,,M30,O30,Q30,S30,U30,W30)</f>
        <v>0</v>
      </c>
      <c r="Z30" s="14">
        <f>SUM(D30,F30,H30,J30,L30,,N30,P30,R30,T30,V30)</f>
        <v>0</v>
      </c>
      <c r="AA30" s="13" t="s">
        <v>49</v>
      </c>
      <c r="AB30" s="176">
        <f>SUM(Y29:Y31)</f>
        <v>0</v>
      </c>
      <c r="AC30" s="177"/>
      <c r="AD30" s="16">
        <f t="shared" si="8"/>
        <v>0</v>
      </c>
      <c r="AE30" s="17"/>
      <c r="AF30" s="182" t="s">
        <v>50</v>
      </c>
      <c r="AG30" s="183"/>
      <c r="AH30" s="183"/>
      <c r="AI30" s="183"/>
      <c r="AJ30" s="183"/>
      <c r="AK30" s="232"/>
      <c r="AL30" s="233"/>
    </row>
    <row r="31" spans="1:38" s="12" customFormat="1" ht="110.25" customHeight="1" thickBot="1" x14ac:dyDescent="2.15">
      <c r="A31" s="12">
        <v>0</v>
      </c>
      <c r="B31" s="13" t="s">
        <v>51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13">
        <v>0</v>
      </c>
      <c r="Y31" s="14">
        <f>SUM(C31,E31,G31,I31,K31,,M31,O31,Q31,S31,U31,W31)</f>
        <v>0</v>
      </c>
      <c r="Z31" s="14">
        <f>SUM(D31,F31,H31,J31,L31,,N31,P31,R31,T31,V31)</f>
        <v>0</v>
      </c>
      <c r="AA31" s="13" t="s">
        <v>51</v>
      </c>
      <c r="AB31" s="178"/>
      <c r="AC31" s="179"/>
      <c r="AD31" s="16">
        <f t="shared" si="8"/>
        <v>0</v>
      </c>
      <c r="AE31" s="17"/>
      <c r="AF31" s="204">
        <f>+AD30+AD31</f>
        <v>0</v>
      </c>
      <c r="AG31" s="235"/>
      <c r="AH31" s="235"/>
      <c r="AI31" s="235"/>
      <c r="AJ31" s="236"/>
      <c r="AK31" s="232"/>
      <c r="AL31" s="233"/>
    </row>
    <row r="32" spans="1:38" s="12" customFormat="1" ht="110.25" customHeight="1" thickBot="1" x14ac:dyDescent="2.15">
      <c r="B32" s="13"/>
      <c r="C32" s="30">
        <f t="shared" ref="C32:W32" si="11">SUM(C30:C31)</f>
        <v>0</v>
      </c>
      <c r="D32" s="30">
        <f t="shared" si="11"/>
        <v>0</v>
      </c>
      <c r="E32" s="30">
        <f t="shared" si="11"/>
        <v>0</v>
      </c>
      <c r="F32" s="30">
        <f t="shared" si="11"/>
        <v>0</v>
      </c>
      <c r="G32" s="30">
        <f t="shared" si="11"/>
        <v>0</v>
      </c>
      <c r="H32" s="30">
        <f t="shared" si="11"/>
        <v>0</v>
      </c>
      <c r="I32" s="30">
        <f t="shared" si="11"/>
        <v>0</v>
      </c>
      <c r="J32" s="30">
        <f t="shared" si="11"/>
        <v>0</v>
      </c>
      <c r="K32" s="30">
        <f t="shared" si="11"/>
        <v>0</v>
      </c>
      <c r="L32" s="30">
        <f t="shared" si="11"/>
        <v>0</v>
      </c>
      <c r="M32" s="30">
        <f t="shared" si="11"/>
        <v>0</v>
      </c>
      <c r="N32" s="30">
        <f t="shared" si="11"/>
        <v>0</v>
      </c>
      <c r="O32" s="30">
        <f t="shared" si="11"/>
        <v>0</v>
      </c>
      <c r="P32" s="30">
        <f t="shared" si="11"/>
        <v>0</v>
      </c>
      <c r="Q32" s="30">
        <f t="shared" si="11"/>
        <v>0</v>
      </c>
      <c r="R32" s="30">
        <f t="shared" si="11"/>
        <v>0</v>
      </c>
      <c r="S32" s="30">
        <f t="shared" si="11"/>
        <v>0</v>
      </c>
      <c r="T32" s="30">
        <f t="shared" si="11"/>
        <v>0</v>
      </c>
      <c r="U32" s="30">
        <f t="shared" si="11"/>
        <v>0</v>
      </c>
      <c r="V32" s="30">
        <f t="shared" si="11"/>
        <v>0</v>
      </c>
      <c r="W32" s="30">
        <f t="shared" si="11"/>
        <v>0</v>
      </c>
      <c r="X32" s="114"/>
      <c r="Y32" s="14"/>
      <c r="Z32" s="14"/>
      <c r="AA32" s="13"/>
      <c r="AB32" s="154"/>
      <c r="AC32" s="155"/>
      <c r="AD32" s="16">
        <f t="shared" si="8"/>
        <v>0</v>
      </c>
      <c r="AE32" s="17"/>
      <c r="AF32" s="44"/>
      <c r="AG32" s="45"/>
      <c r="AH32" s="45"/>
      <c r="AI32" s="45"/>
      <c r="AJ32" s="45"/>
      <c r="AK32" s="232"/>
      <c r="AL32" s="233"/>
    </row>
    <row r="33" spans="1:40" s="12" customFormat="1" ht="110.25" customHeight="1" x14ac:dyDescent="2.1">
      <c r="A33" s="12">
        <v>0</v>
      </c>
      <c r="B33" s="13" t="s">
        <v>52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13">
        <v>0</v>
      </c>
      <c r="Y33" s="14">
        <f>SUM(C33,E33,G33,I33,K33,,M33,O33,Q33,S33,U33,W33)</f>
        <v>0</v>
      </c>
      <c r="Z33" s="14">
        <f>SUM(D33,F33,H33,J33,L33,,N33,P33,R33,T33,V33)</f>
        <v>0</v>
      </c>
      <c r="AA33" s="13" t="s">
        <v>52</v>
      </c>
      <c r="AB33" s="176">
        <f>SUM(Y32:Y34)</f>
        <v>0</v>
      </c>
      <c r="AC33" s="177"/>
      <c r="AD33" s="16">
        <f t="shared" si="8"/>
        <v>0</v>
      </c>
      <c r="AE33" s="17"/>
      <c r="AF33" s="182" t="s">
        <v>53</v>
      </c>
      <c r="AG33" s="183"/>
      <c r="AH33" s="183"/>
      <c r="AI33" s="183"/>
      <c r="AJ33" s="183"/>
      <c r="AK33" s="232"/>
      <c r="AL33" s="233"/>
    </row>
    <row r="34" spans="1:40" s="12" customFormat="1" ht="110.25" customHeight="1" thickBot="1" x14ac:dyDescent="2.15">
      <c r="A34" s="12">
        <v>0</v>
      </c>
      <c r="B34" s="13" t="s">
        <v>54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13">
        <v>0</v>
      </c>
      <c r="Y34" s="14">
        <f>SUM(C34,E34,G34,I34,K34,,M34,O34,Q34,S34,U34,W34)</f>
        <v>0</v>
      </c>
      <c r="Z34" s="14">
        <f>SUM(D34,F34,H34,J34,L34,,N34,P34,R34,T34,V34)</f>
        <v>0</v>
      </c>
      <c r="AA34" s="13" t="s">
        <v>54</v>
      </c>
      <c r="AB34" s="178"/>
      <c r="AC34" s="179"/>
      <c r="AD34" s="16">
        <f t="shared" si="8"/>
        <v>0</v>
      </c>
      <c r="AE34" s="17"/>
      <c r="AF34" s="204">
        <f>+AD33+AD34</f>
        <v>0</v>
      </c>
      <c r="AG34" s="235"/>
      <c r="AH34" s="235"/>
      <c r="AI34" s="235"/>
      <c r="AJ34" s="236"/>
      <c r="AK34" s="232"/>
      <c r="AL34" s="233"/>
    </row>
    <row r="35" spans="1:40" s="12" customFormat="1" ht="110.25" customHeight="1" thickBot="1" x14ac:dyDescent="2.15">
      <c r="B35" s="13"/>
      <c r="C35" s="30">
        <f t="shared" ref="C35:W35" si="12">SUM(C33:C34)</f>
        <v>0</v>
      </c>
      <c r="D35" s="30">
        <f t="shared" si="12"/>
        <v>0</v>
      </c>
      <c r="E35" s="30">
        <f t="shared" si="12"/>
        <v>0</v>
      </c>
      <c r="F35" s="30">
        <f t="shared" si="12"/>
        <v>0</v>
      </c>
      <c r="G35" s="30">
        <f t="shared" si="12"/>
        <v>0</v>
      </c>
      <c r="H35" s="30">
        <f t="shared" si="12"/>
        <v>0</v>
      </c>
      <c r="I35" s="30">
        <f t="shared" si="12"/>
        <v>0</v>
      </c>
      <c r="J35" s="30">
        <f t="shared" si="12"/>
        <v>0</v>
      </c>
      <c r="K35" s="30">
        <f t="shared" si="12"/>
        <v>0</v>
      </c>
      <c r="L35" s="30">
        <f t="shared" si="12"/>
        <v>0</v>
      </c>
      <c r="M35" s="30">
        <f t="shared" si="12"/>
        <v>0</v>
      </c>
      <c r="N35" s="30">
        <f t="shared" si="12"/>
        <v>0</v>
      </c>
      <c r="O35" s="30">
        <f t="shared" si="12"/>
        <v>0</v>
      </c>
      <c r="P35" s="30">
        <f t="shared" si="12"/>
        <v>0</v>
      </c>
      <c r="Q35" s="30">
        <f t="shared" si="12"/>
        <v>0</v>
      </c>
      <c r="R35" s="30">
        <f t="shared" si="12"/>
        <v>0</v>
      </c>
      <c r="S35" s="30">
        <f t="shared" si="12"/>
        <v>0</v>
      </c>
      <c r="T35" s="30">
        <f t="shared" si="12"/>
        <v>0</v>
      </c>
      <c r="U35" s="30">
        <f t="shared" si="12"/>
        <v>0</v>
      </c>
      <c r="V35" s="30">
        <f t="shared" si="12"/>
        <v>0</v>
      </c>
      <c r="W35" s="30">
        <f t="shared" si="12"/>
        <v>0</v>
      </c>
      <c r="X35" s="114"/>
      <c r="Y35" s="14"/>
      <c r="Z35" s="14"/>
      <c r="AA35" s="13"/>
      <c r="AB35" s="154"/>
      <c r="AC35" s="155"/>
      <c r="AD35" s="16">
        <f t="shared" si="8"/>
        <v>0</v>
      </c>
      <c r="AE35" s="17"/>
      <c r="AF35" s="44"/>
      <c r="AG35" s="45"/>
      <c r="AH35" s="45"/>
      <c r="AI35" s="45"/>
      <c r="AJ35" s="45"/>
      <c r="AK35" s="232"/>
      <c r="AL35" s="233"/>
    </row>
    <row r="36" spans="1:40" s="12" customFormat="1" ht="110.25" customHeight="1" x14ac:dyDescent="2.1">
      <c r="B36" s="13" t="s">
        <v>55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13">
        <v>0</v>
      </c>
      <c r="Y36" s="14">
        <f>SUM(C36,E36,G36,I36,K36,,M36,O36,Q36,S36,U36,W36)</f>
        <v>0</v>
      </c>
      <c r="Z36" s="14">
        <f>SUM(D36,F36,H36,J36,L36,,N36,P36,R36,T36,V36)</f>
        <v>0</v>
      </c>
      <c r="AA36" s="13" t="s">
        <v>55</v>
      </c>
      <c r="AB36" s="176">
        <f>SUM(Y35:Y37)</f>
        <v>0</v>
      </c>
      <c r="AC36" s="177"/>
      <c r="AD36" s="16">
        <f t="shared" si="8"/>
        <v>0</v>
      </c>
      <c r="AE36" s="17"/>
      <c r="AF36" s="182" t="s">
        <v>56</v>
      </c>
      <c r="AG36" s="183"/>
      <c r="AH36" s="183"/>
      <c r="AI36" s="183"/>
      <c r="AJ36" s="183"/>
      <c r="AK36" s="232"/>
      <c r="AL36" s="233"/>
    </row>
    <row r="37" spans="1:40" s="12" customFormat="1" ht="110.25" customHeight="1" thickBot="1" x14ac:dyDescent="2.15">
      <c r="B37" s="13" t="s">
        <v>57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17">
        <v>0</v>
      </c>
      <c r="Y37" s="14">
        <f>SUM(C37,E37,G37,I37,K37,,M37,O37,Q37,S37,U37,W37)</f>
        <v>0</v>
      </c>
      <c r="Z37" s="14">
        <f>SUM(D37,F37,H37,J37,L37,,N37,P37,R37,T37,V37)</f>
        <v>0</v>
      </c>
      <c r="AA37" s="13" t="s">
        <v>57</v>
      </c>
      <c r="AB37" s="178"/>
      <c r="AC37" s="179"/>
      <c r="AD37" s="16">
        <f t="shared" si="8"/>
        <v>0</v>
      </c>
      <c r="AE37" s="17"/>
      <c r="AF37" s="204">
        <f>+AD36+AD37</f>
        <v>0</v>
      </c>
      <c r="AG37" s="235"/>
      <c r="AH37" s="235"/>
      <c r="AI37" s="235"/>
      <c r="AJ37" s="236"/>
      <c r="AK37" s="232"/>
      <c r="AL37" s="233"/>
      <c r="AM37" s="47"/>
      <c r="AN37" s="47"/>
    </row>
    <row r="38" spans="1:40" s="12" customFormat="1" ht="146.25" x14ac:dyDescent="2.1">
      <c r="B38" s="13"/>
      <c r="C38" s="30">
        <f t="shared" ref="C38:W38" si="13">SUM(C36:C37)</f>
        <v>0</v>
      </c>
      <c r="D38" s="30">
        <f t="shared" si="13"/>
        <v>0</v>
      </c>
      <c r="E38" s="30">
        <f t="shared" si="13"/>
        <v>0</v>
      </c>
      <c r="F38" s="30">
        <f t="shared" si="13"/>
        <v>0</v>
      </c>
      <c r="G38" s="30">
        <f t="shared" si="13"/>
        <v>0</v>
      </c>
      <c r="H38" s="30">
        <f t="shared" si="13"/>
        <v>0</v>
      </c>
      <c r="I38" s="30">
        <f t="shared" si="13"/>
        <v>0</v>
      </c>
      <c r="J38" s="30">
        <f t="shared" si="13"/>
        <v>0</v>
      </c>
      <c r="K38" s="30">
        <f t="shared" si="13"/>
        <v>0</v>
      </c>
      <c r="L38" s="30">
        <f t="shared" si="13"/>
        <v>0</v>
      </c>
      <c r="M38" s="30">
        <f t="shared" si="13"/>
        <v>0</v>
      </c>
      <c r="N38" s="30">
        <f t="shared" si="13"/>
        <v>0</v>
      </c>
      <c r="O38" s="30">
        <f t="shared" si="13"/>
        <v>0</v>
      </c>
      <c r="P38" s="30">
        <f t="shared" si="13"/>
        <v>0</v>
      </c>
      <c r="Q38" s="30">
        <f t="shared" si="13"/>
        <v>0</v>
      </c>
      <c r="R38" s="30">
        <f t="shared" si="13"/>
        <v>0</v>
      </c>
      <c r="S38" s="30">
        <f t="shared" si="13"/>
        <v>0</v>
      </c>
      <c r="T38" s="30">
        <f t="shared" si="13"/>
        <v>0</v>
      </c>
      <c r="U38" s="30">
        <f t="shared" si="13"/>
        <v>0</v>
      </c>
      <c r="V38" s="30">
        <f t="shared" si="13"/>
        <v>0</v>
      </c>
      <c r="W38" s="30">
        <f t="shared" si="13"/>
        <v>0</v>
      </c>
      <c r="X38" s="114"/>
      <c r="Y38" s="14"/>
      <c r="Z38" s="14"/>
      <c r="AA38" s="13"/>
      <c r="AB38" s="154"/>
      <c r="AC38" s="155"/>
      <c r="AD38" s="16">
        <f t="shared" si="8"/>
        <v>0</v>
      </c>
      <c r="AE38" s="17"/>
      <c r="AF38" s="45"/>
      <c r="AG38" s="45"/>
      <c r="AH38" s="45"/>
      <c r="AI38" s="45"/>
      <c r="AJ38" s="45"/>
      <c r="AK38" s="232"/>
      <c r="AL38" s="233"/>
      <c r="AM38" s="47"/>
      <c r="AN38" s="47"/>
    </row>
    <row r="39" spans="1:40" s="12" customFormat="1" ht="146.25" x14ac:dyDescent="2.1">
      <c r="B39" s="13" t="s">
        <v>58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17">
        <v>0</v>
      </c>
      <c r="Y39" s="14">
        <f>SUM(C39,E39,G39,I39,K39,,M39,O39,Q39,S39,U39,W39)</f>
        <v>0</v>
      </c>
      <c r="Z39" s="14">
        <f>SUM(D39,F39,H39,J39,L39,,N39,P39,R39,T39,V39)</f>
        <v>0</v>
      </c>
      <c r="AA39" s="13" t="s">
        <v>58</v>
      </c>
      <c r="AB39" s="154"/>
      <c r="AC39" s="155"/>
      <c r="AD39" s="16">
        <f t="shared" si="8"/>
        <v>0</v>
      </c>
      <c r="AE39" s="17"/>
      <c r="AF39" s="45"/>
      <c r="AG39" s="45"/>
      <c r="AH39" s="45"/>
      <c r="AI39" s="45"/>
      <c r="AJ39" s="45"/>
      <c r="AK39" s="232"/>
      <c r="AL39" s="233"/>
      <c r="AM39" s="47"/>
      <c r="AN39" s="47"/>
    </row>
    <row r="40" spans="1:40" s="4" customFormat="1" ht="132" customHeight="1" x14ac:dyDescent="2.1">
      <c r="B40" s="48" t="s">
        <v>59</v>
      </c>
      <c r="C40" s="142" t="s">
        <v>2</v>
      </c>
      <c r="D40" s="143"/>
      <c r="E40" s="142" t="s">
        <v>3</v>
      </c>
      <c r="F40" s="143"/>
      <c r="G40" s="142" t="s">
        <v>4</v>
      </c>
      <c r="H40" s="143"/>
      <c r="I40" s="142" t="s">
        <v>5</v>
      </c>
      <c r="J40" s="143"/>
      <c r="K40" s="142" t="s">
        <v>6</v>
      </c>
      <c r="L40" s="143"/>
      <c r="M40" s="142" t="s">
        <v>8</v>
      </c>
      <c r="N40" s="143"/>
      <c r="O40" s="142" t="s">
        <v>9</v>
      </c>
      <c r="P40" s="143"/>
      <c r="Q40" s="142" t="s">
        <v>10</v>
      </c>
      <c r="R40" s="143"/>
      <c r="S40" s="142" t="s">
        <v>11</v>
      </c>
      <c r="T40" s="143"/>
      <c r="U40" s="142" t="s">
        <v>12</v>
      </c>
      <c r="V40" s="143"/>
      <c r="W40" s="5" t="s">
        <v>13</v>
      </c>
      <c r="X40" s="118"/>
      <c r="Y40" s="49" t="s">
        <v>14</v>
      </c>
      <c r="Z40" s="49" t="s">
        <v>15</v>
      </c>
      <c r="AA40" s="48" t="s">
        <v>59</v>
      </c>
      <c r="AB40" s="148"/>
      <c r="AC40" s="149"/>
      <c r="AD40" s="6">
        <v>0</v>
      </c>
      <c r="AE40" s="7"/>
      <c r="AF40" s="2"/>
      <c r="AG40" s="2"/>
      <c r="AH40" s="2"/>
      <c r="AI40" s="2"/>
      <c r="AJ40" s="2"/>
      <c r="AK40" s="232"/>
      <c r="AL40" s="233"/>
      <c r="AM40" s="12"/>
      <c r="AN40" s="12"/>
    </row>
    <row r="41" spans="1:40" s="47" customFormat="1" ht="147" thickBot="1" x14ac:dyDescent="2.15">
      <c r="A41" s="12"/>
      <c r="B41" s="13" t="s">
        <v>60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13">
        <v>0</v>
      </c>
      <c r="Y41" s="14">
        <f t="shared" ref="Y41:Y53" si="14">SUM(C41,E41,G41,I41,K41,,M41,O41,Q41,S41,U41,W41)</f>
        <v>0</v>
      </c>
      <c r="Z41" s="14">
        <f t="shared" ref="Z41:Z53" si="15">SUM(D41,F41,H41,J41,L41,,N41,P41,R41,T41,V41)</f>
        <v>0</v>
      </c>
      <c r="AA41" s="13" t="s">
        <v>60</v>
      </c>
      <c r="AB41" s="50"/>
      <c r="AC41" s="51"/>
      <c r="AD41" s="16">
        <f>X41</f>
        <v>0</v>
      </c>
      <c r="AE41" s="17"/>
      <c r="AF41" s="52"/>
      <c r="AG41" s="52"/>
      <c r="AH41" s="52"/>
      <c r="AI41" s="52"/>
      <c r="AJ41" s="52"/>
      <c r="AK41" s="232"/>
      <c r="AL41" s="233"/>
    </row>
    <row r="42" spans="1:40" s="47" customFormat="1" ht="146.25" x14ac:dyDescent="2.1">
      <c r="A42" s="12"/>
      <c r="B42" s="13" t="s">
        <v>61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13">
        <v>0</v>
      </c>
      <c r="Y42" s="14">
        <f t="shared" si="14"/>
        <v>0</v>
      </c>
      <c r="Z42" s="14">
        <f t="shared" si="15"/>
        <v>0</v>
      </c>
      <c r="AA42" s="13" t="s">
        <v>61</v>
      </c>
      <c r="AB42" s="208">
        <f>SUM(Y40:Y53)</f>
        <v>0</v>
      </c>
      <c r="AC42" s="209"/>
      <c r="AD42" s="16">
        <f t="shared" ref="AD42:AD59" si="16">X42</f>
        <v>0</v>
      </c>
      <c r="AE42" s="17"/>
      <c r="AF42" s="182" t="s">
        <v>62</v>
      </c>
      <c r="AG42" s="183"/>
      <c r="AH42" s="183"/>
      <c r="AI42" s="183"/>
      <c r="AJ42" s="231"/>
      <c r="AK42" s="234"/>
      <c r="AL42" s="233"/>
    </row>
    <row r="43" spans="1:40" s="47" customFormat="1" ht="110.25" customHeight="1" x14ac:dyDescent="2.1">
      <c r="A43" s="12"/>
      <c r="B43" s="13" t="s">
        <v>63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13">
        <v>0</v>
      </c>
      <c r="Y43" s="14">
        <f t="shared" si="14"/>
        <v>0</v>
      </c>
      <c r="Z43" s="14">
        <f t="shared" si="15"/>
        <v>0</v>
      </c>
      <c r="AA43" s="13" t="s">
        <v>63</v>
      </c>
      <c r="AB43" s="208"/>
      <c r="AC43" s="209"/>
      <c r="AD43" s="16">
        <f t="shared" si="16"/>
        <v>0</v>
      </c>
      <c r="AE43" s="17"/>
      <c r="AF43" s="53"/>
      <c r="AG43" s="54"/>
      <c r="AH43" s="54"/>
      <c r="AI43" s="54"/>
      <c r="AJ43" s="55"/>
      <c r="AK43" s="234"/>
      <c r="AL43" s="233"/>
    </row>
    <row r="44" spans="1:40" s="47" customFormat="1" ht="110.25" customHeight="1" x14ac:dyDescent="2.1">
      <c r="A44" s="12"/>
      <c r="B44" s="13" t="s">
        <v>64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13">
        <v>0</v>
      </c>
      <c r="Y44" s="14">
        <f t="shared" si="14"/>
        <v>0</v>
      </c>
      <c r="Z44" s="14">
        <f t="shared" si="15"/>
        <v>0</v>
      </c>
      <c r="AA44" s="13" t="s">
        <v>64</v>
      </c>
      <c r="AB44" s="208"/>
      <c r="AC44" s="209"/>
      <c r="AD44" s="16">
        <f t="shared" si="16"/>
        <v>0</v>
      </c>
      <c r="AE44" s="17"/>
      <c r="AF44" s="53"/>
      <c r="AG44" s="54"/>
      <c r="AH44" s="54"/>
      <c r="AI44" s="54"/>
      <c r="AJ44" s="55"/>
      <c r="AK44" s="234"/>
      <c r="AL44" s="233"/>
    </row>
    <row r="45" spans="1:40" s="47" customFormat="1" ht="110.25" customHeight="1" x14ac:dyDescent="2.1">
      <c r="A45" s="12"/>
      <c r="B45" s="13" t="s">
        <v>65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13">
        <v>0</v>
      </c>
      <c r="Y45" s="14">
        <f t="shared" si="14"/>
        <v>0</v>
      </c>
      <c r="Z45" s="14">
        <f t="shared" si="15"/>
        <v>0</v>
      </c>
      <c r="AA45" s="13" t="s">
        <v>65</v>
      </c>
      <c r="AB45" s="208"/>
      <c r="AC45" s="209"/>
      <c r="AD45" s="16">
        <f t="shared" si="16"/>
        <v>0</v>
      </c>
      <c r="AE45" s="17"/>
      <c r="AF45" s="53"/>
      <c r="AG45" s="54"/>
      <c r="AH45" s="54"/>
      <c r="AI45" s="54"/>
      <c r="AJ45" s="55"/>
      <c r="AK45" s="234"/>
      <c r="AL45" s="233"/>
    </row>
    <row r="46" spans="1:40" s="47" customFormat="1" ht="110.25" customHeight="1" x14ac:dyDescent="2.1">
      <c r="A46" s="12"/>
      <c r="B46" s="13" t="s">
        <v>66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13">
        <v>0</v>
      </c>
      <c r="Y46" s="14">
        <f t="shared" si="14"/>
        <v>0</v>
      </c>
      <c r="Z46" s="14">
        <f t="shared" si="15"/>
        <v>0</v>
      </c>
      <c r="AA46" s="13" t="s">
        <v>66</v>
      </c>
      <c r="AB46" s="208"/>
      <c r="AC46" s="209"/>
      <c r="AD46" s="16">
        <f t="shared" si="16"/>
        <v>0</v>
      </c>
      <c r="AE46" s="17"/>
      <c r="AF46" s="53"/>
      <c r="AG46" s="54"/>
      <c r="AH46" s="54"/>
      <c r="AI46" s="54"/>
      <c r="AJ46" s="55"/>
      <c r="AK46" s="234"/>
      <c r="AL46" s="233"/>
    </row>
    <row r="47" spans="1:40" s="47" customFormat="1" ht="110.25" customHeight="1" x14ac:dyDescent="2.1">
      <c r="A47" s="12"/>
      <c r="B47" s="13" t="s">
        <v>67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13">
        <v>0</v>
      </c>
      <c r="Y47" s="14">
        <f t="shared" si="14"/>
        <v>0</v>
      </c>
      <c r="Z47" s="14">
        <f t="shared" si="15"/>
        <v>0</v>
      </c>
      <c r="AA47" s="13" t="s">
        <v>67</v>
      </c>
      <c r="AB47" s="208"/>
      <c r="AC47" s="209"/>
      <c r="AD47" s="16">
        <f t="shared" si="16"/>
        <v>0</v>
      </c>
      <c r="AE47" s="17"/>
      <c r="AF47" s="213">
        <f>SUM(AD41:AD53)</f>
        <v>0</v>
      </c>
      <c r="AG47" s="211"/>
      <c r="AH47" s="211"/>
      <c r="AI47" s="211"/>
      <c r="AJ47" s="212"/>
      <c r="AK47" s="234"/>
      <c r="AL47" s="233"/>
    </row>
    <row r="48" spans="1:40" s="47" customFormat="1" ht="123.75" customHeight="1" x14ac:dyDescent="2.1">
      <c r="A48" s="12"/>
      <c r="B48" s="13" t="s">
        <v>68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13">
        <v>0</v>
      </c>
      <c r="Y48" s="14">
        <f t="shared" si="14"/>
        <v>0</v>
      </c>
      <c r="Z48" s="14">
        <f t="shared" si="15"/>
        <v>0</v>
      </c>
      <c r="AA48" s="13" t="s">
        <v>68</v>
      </c>
      <c r="AB48" s="208"/>
      <c r="AC48" s="209"/>
      <c r="AD48" s="16">
        <f t="shared" si="16"/>
        <v>0</v>
      </c>
      <c r="AE48" s="17"/>
      <c r="AF48" s="53"/>
      <c r="AG48" s="54"/>
      <c r="AH48" s="54"/>
      <c r="AI48" s="54"/>
      <c r="AJ48" s="55"/>
      <c r="AK48" s="234"/>
      <c r="AL48" s="233"/>
    </row>
    <row r="49" spans="1:40" s="47" customFormat="1" ht="146.25" customHeight="1" x14ac:dyDescent="2.1">
      <c r="A49" s="12"/>
      <c r="B49" s="13" t="s">
        <v>69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17">
        <v>0</v>
      </c>
      <c r="Y49" s="14">
        <f t="shared" si="14"/>
        <v>0</v>
      </c>
      <c r="Z49" s="14">
        <f t="shared" si="15"/>
        <v>0</v>
      </c>
      <c r="AA49" s="13" t="s">
        <v>69</v>
      </c>
      <c r="AB49" s="208"/>
      <c r="AC49" s="209"/>
      <c r="AD49" s="16">
        <f t="shared" si="16"/>
        <v>0</v>
      </c>
      <c r="AE49" s="17"/>
      <c r="AF49" s="53"/>
      <c r="AG49" s="54"/>
      <c r="AH49" s="54"/>
      <c r="AI49" s="54"/>
      <c r="AJ49" s="55"/>
      <c r="AK49" s="234"/>
      <c r="AL49" s="233"/>
    </row>
    <row r="50" spans="1:40" s="47" customFormat="1" ht="108.75" customHeight="1" x14ac:dyDescent="2.1">
      <c r="A50" s="12"/>
      <c r="B50" s="13" t="s">
        <v>70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17">
        <v>0</v>
      </c>
      <c r="Y50" s="14">
        <f t="shared" si="14"/>
        <v>0</v>
      </c>
      <c r="Z50" s="14">
        <f t="shared" si="15"/>
        <v>0</v>
      </c>
      <c r="AA50" s="13" t="s">
        <v>70</v>
      </c>
      <c r="AB50" s="208"/>
      <c r="AC50" s="209"/>
      <c r="AD50" s="16">
        <f t="shared" si="16"/>
        <v>0</v>
      </c>
      <c r="AE50" s="17"/>
      <c r="AF50" s="53"/>
      <c r="AG50" s="54"/>
      <c r="AH50" s="54"/>
      <c r="AI50" s="54"/>
      <c r="AJ50" s="55"/>
      <c r="AK50" s="234"/>
      <c r="AL50" s="233"/>
    </row>
    <row r="51" spans="1:40" s="47" customFormat="1" ht="146.25" x14ac:dyDescent="2.1">
      <c r="A51" s="12"/>
      <c r="B51" s="13" t="s">
        <v>71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13">
        <v>0</v>
      </c>
      <c r="Y51" s="14">
        <f t="shared" si="14"/>
        <v>0</v>
      </c>
      <c r="Z51" s="14">
        <f t="shared" si="15"/>
        <v>0</v>
      </c>
      <c r="AA51" s="13" t="s">
        <v>71</v>
      </c>
      <c r="AB51" s="208"/>
      <c r="AC51" s="209"/>
      <c r="AD51" s="16">
        <f t="shared" si="16"/>
        <v>0</v>
      </c>
      <c r="AE51" s="17"/>
      <c r="AF51" s="53"/>
      <c r="AG51" s="54"/>
      <c r="AH51" s="54"/>
      <c r="AI51" s="54"/>
      <c r="AJ51" s="55"/>
      <c r="AK51" s="234"/>
      <c r="AL51" s="233"/>
    </row>
    <row r="52" spans="1:40" s="47" customFormat="1" ht="146.25" customHeight="1" x14ac:dyDescent="2.1">
      <c r="A52" s="12"/>
      <c r="B52" s="13" t="s">
        <v>72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13">
        <v>0</v>
      </c>
      <c r="Y52" s="14">
        <f t="shared" si="14"/>
        <v>0</v>
      </c>
      <c r="Z52" s="14">
        <f t="shared" si="15"/>
        <v>0</v>
      </c>
      <c r="AA52" s="13" t="s">
        <v>72</v>
      </c>
      <c r="AB52" s="59"/>
      <c r="AC52" s="60"/>
      <c r="AD52" s="16">
        <f t="shared" si="16"/>
        <v>0</v>
      </c>
      <c r="AE52" s="17"/>
      <c r="AF52" s="53"/>
      <c r="AG52" s="54"/>
      <c r="AH52" s="54"/>
      <c r="AI52" s="54"/>
      <c r="AJ52" s="55"/>
      <c r="AK52" s="234"/>
      <c r="AL52" s="233"/>
    </row>
    <row r="53" spans="1:40" s="47" customFormat="1" ht="108.75" customHeight="1" thickBot="1" x14ac:dyDescent="2.15">
      <c r="A53" s="12"/>
      <c r="B53" s="13" t="s">
        <v>73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13">
        <v>0</v>
      </c>
      <c r="Y53" s="14">
        <f t="shared" si="14"/>
        <v>0</v>
      </c>
      <c r="Z53" s="14">
        <f t="shared" si="15"/>
        <v>0</v>
      </c>
      <c r="AA53" s="13" t="s">
        <v>73</v>
      </c>
      <c r="AB53" s="59"/>
      <c r="AC53" s="60"/>
      <c r="AD53" s="16">
        <f t="shared" si="16"/>
        <v>0</v>
      </c>
      <c r="AE53" s="17"/>
      <c r="AF53" s="61"/>
      <c r="AG53" s="62"/>
      <c r="AH53" s="62"/>
      <c r="AI53" s="62"/>
      <c r="AJ53" s="63"/>
      <c r="AK53" s="234"/>
      <c r="AL53" s="233"/>
    </row>
    <row r="54" spans="1:40" s="47" customFormat="1" ht="110.25" customHeight="1" x14ac:dyDescent="2.1">
      <c r="A54" s="12"/>
      <c r="B54" s="13"/>
      <c r="C54" s="30">
        <f t="shared" ref="C54:W54" si="17">SUM(C41:C53)</f>
        <v>0</v>
      </c>
      <c r="D54" s="30">
        <f t="shared" si="17"/>
        <v>0</v>
      </c>
      <c r="E54" s="30">
        <f t="shared" si="17"/>
        <v>0</v>
      </c>
      <c r="F54" s="30">
        <f t="shared" si="17"/>
        <v>0</v>
      </c>
      <c r="G54" s="30">
        <f t="shared" si="17"/>
        <v>0</v>
      </c>
      <c r="H54" s="30">
        <f t="shared" si="17"/>
        <v>0</v>
      </c>
      <c r="I54" s="30">
        <f t="shared" si="17"/>
        <v>0</v>
      </c>
      <c r="J54" s="30">
        <f t="shared" si="17"/>
        <v>0</v>
      </c>
      <c r="K54" s="30">
        <f t="shared" si="17"/>
        <v>0</v>
      </c>
      <c r="L54" s="30">
        <f t="shared" si="17"/>
        <v>0</v>
      </c>
      <c r="M54" s="30">
        <f t="shared" si="17"/>
        <v>0</v>
      </c>
      <c r="N54" s="30">
        <f t="shared" si="17"/>
        <v>0</v>
      </c>
      <c r="O54" s="30">
        <f t="shared" si="17"/>
        <v>0</v>
      </c>
      <c r="P54" s="30">
        <f t="shared" si="17"/>
        <v>0</v>
      </c>
      <c r="Q54" s="30">
        <f t="shared" si="17"/>
        <v>0</v>
      </c>
      <c r="R54" s="30">
        <f t="shared" si="17"/>
        <v>0</v>
      </c>
      <c r="S54" s="30">
        <f t="shared" si="17"/>
        <v>0</v>
      </c>
      <c r="T54" s="30">
        <f t="shared" si="17"/>
        <v>0</v>
      </c>
      <c r="U54" s="30">
        <f t="shared" si="17"/>
        <v>0</v>
      </c>
      <c r="V54" s="30">
        <f t="shared" si="17"/>
        <v>0</v>
      </c>
      <c r="W54" s="30">
        <f t="shared" si="17"/>
        <v>0</v>
      </c>
      <c r="X54" s="114">
        <v>0</v>
      </c>
      <c r="Y54" s="14"/>
      <c r="Z54" s="14"/>
      <c r="AA54" s="13"/>
      <c r="AB54" s="224"/>
      <c r="AC54" s="225"/>
      <c r="AD54" s="16">
        <f t="shared" si="16"/>
        <v>0</v>
      </c>
      <c r="AE54" s="17"/>
      <c r="AF54" s="54"/>
      <c r="AG54" s="54"/>
      <c r="AH54" s="54"/>
      <c r="AI54" s="54"/>
      <c r="AJ54" s="54"/>
      <c r="AK54" s="232"/>
      <c r="AL54" s="233"/>
    </row>
    <row r="55" spans="1:40" s="12" customFormat="1" ht="110.25" customHeight="1" x14ac:dyDescent="2.1">
      <c r="B55" s="13" t="s">
        <v>74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3">
        <v>0</v>
      </c>
      <c r="Y55" s="14">
        <f>SUM(C55,E55,G55,I55,K55,,M55,O55,Q55,S55,U55,W55)</f>
        <v>0</v>
      </c>
      <c r="Z55" s="14">
        <f>SUM(D55,F55,H55,J55,L55,,N55,P55,R55,T55,V55)</f>
        <v>0</v>
      </c>
      <c r="AA55" s="13" t="s">
        <v>74</v>
      </c>
      <c r="AB55" s="154"/>
      <c r="AC55" s="155"/>
      <c r="AD55" s="16">
        <f t="shared" si="16"/>
        <v>0</v>
      </c>
      <c r="AE55" s="17"/>
      <c r="AF55" s="2"/>
      <c r="AG55" s="2"/>
      <c r="AH55" s="2"/>
      <c r="AI55" s="2"/>
      <c r="AJ55" s="2"/>
      <c r="AK55" s="232"/>
      <c r="AL55" s="233"/>
      <c r="AM55" s="4"/>
      <c r="AN55" s="4"/>
    </row>
    <row r="56" spans="1:40" s="64" customFormat="1" ht="23.25" customHeight="1" x14ac:dyDescent="2.1">
      <c r="B56" s="65"/>
      <c r="C56" s="14">
        <v>0</v>
      </c>
      <c r="D56" s="14"/>
      <c r="E56" s="14">
        <v>0</v>
      </c>
      <c r="F56" s="14"/>
      <c r="G56" s="14">
        <v>0</v>
      </c>
      <c r="H56" s="14"/>
      <c r="I56" s="14">
        <v>0</v>
      </c>
      <c r="J56" s="14"/>
      <c r="K56" s="14">
        <v>0</v>
      </c>
      <c r="L56" s="14"/>
      <c r="M56" s="14">
        <v>0</v>
      </c>
      <c r="N56" s="14"/>
      <c r="O56" s="14">
        <v>0</v>
      </c>
      <c r="P56" s="14"/>
      <c r="Q56" s="14">
        <v>0</v>
      </c>
      <c r="R56" s="14"/>
      <c r="S56" s="14">
        <v>0</v>
      </c>
      <c r="T56" s="14"/>
      <c r="U56" s="14">
        <v>0</v>
      </c>
      <c r="V56" s="14"/>
      <c r="W56" s="14">
        <v>0</v>
      </c>
      <c r="X56" s="113">
        <v>0</v>
      </c>
      <c r="Y56" s="14">
        <f>SUM(D56,F56,H56,J56,L56,,N56,P56,R56,T56,V56,W56)</f>
        <v>0</v>
      </c>
      <c r="Z56" s="14">
        <f>SUM(C56,E56,G56,I56,K56,,M56,O56,Q56,S56,U56)</f>
        <v>0</v>
      </c>
      <c r="AA56" s="65"/>
      <c r="AB56" s="66"/>
      <c r="AC56" s="66"/>
      <c r="AD56" s="16">
        <f t="shared" si="16"/>
        <v>0</v>
      </c>
      <c r="AE56" s="17"/>
      <c r="AF56" s="2"/>
      <c r="AG56" s="2"/>
      <c r="AH56" s="2"/>
      <c r="AI56" s="2"/>
      <c r="AJ56" s="2"/>
      <c r="AK56" s="232"/>
      <c r="AL56" s="233"/>
      <c r="AM56" s="67"/>
      <c r="AN56" s="67"/>
    </row>
    <row r="57" spans="1:40" ht="108.75" customHeight="1" x14ac:dyDescent="2.1">
      <c r="B57" s="15" t="s">
        <v>75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13">
        <v>0</v>
      </c>
      <c r="Y57" s="14">
        <f>SUM(C57,E57,G57,I57,K57,,M57,O57,Q57,S57,U57,W57)</f>
        <v>0</v>
      </c>
      <c r="Z57" s="14">
        <f>SUM(D57,F57,H57,J57,L57,,N57,P57,R57,T57,V57)</f>
        <v>0</v>
      </c>
      <c r="AA57" s="68" t="s">
        <v>76</v>
      </c>
      <c r="AB57" s="21">
        <f>Y57*4</f>
        <v>0</v>
      </c>
      <c r="AC57" s="226">
        <f>SUM(C59:W59)</f>
        <v>0</v>
      </c>
      <c r="AD57" s="16">
        <f t="shared" si="16"/>
        <v>0</v>
      </c>
      <c r="AE57" s="17"/>
      <c r="AF57" s="69"/>
      <c r="AG57" s="69"/>
      <c r="AK57" s="232"/>
      <c r="AL57" s="233"/>
    </row>
    <row r="58" spans="1:40" ht="108.75" customHeight="1" x14ac:dyDescent="2.1">
      <c r="B58" s="15" t="s">
        <v>77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13">
        <v>0</v>
      </c>
      <c r="Y58" s="14">
        <f>SUM(C58,E58,G58,I58,K58,,M58,O58,Q58,S58,U58,W58)</f>
        <v>0</v>
      </c>
      <c r="Z58" s="14">
        <f>SUM(D58,F58,H58,J58,L58,,N58,P58,R58,T58,V58)</f>
        <v>0</v>
      </c>
      <c r="AA58" s="68" t="s">
        <v>77</v>
      </c>
      <c r="AB58" s="21">
        <f>Y58*4</f>
        <v>0</v>
      </c>
      <c r="AC58" s="227"/>
      <c r="AD58" s="16">
        <f t="shared" si="16"/>
        <v>0</v>
      </c>
      <c r="AE58" s="17"/>
      <c r="AK58" s="232"/>
      <c r="AL58" s="233"/>
    </row>
    <row r="59" spans="1:40" ht="110.25" customHeight="1" x14ac:dyDescent="2.1">
      <c r="B59" s="15"/>
      <c r="C59" s="30">
        <f>(C57+C58)*4</f>
        <v>0</v>
      </c>
      <c r="D59" s="30">
        <f t="shared" ref="D59:W59" si="18">(D57+D58)*4</f>
        <v>0</v>
      </c>
      <c r="E59" s="30">
        <f t="shared" si="18"/>
        <v>0</v>
      </c>
      <c r="F59" s="30">
        <f t="shared" si="18"/>
        <v>0</v>
      </c>
      <c r="G59" s="30">
        <f t="shared" si="18"/>
        <v>0</v>
      </c>
      <c r="H59" s="30">
        <f t="shared" si="18"/>
        <v>0</v>
      </c>
      <c r="I59" s="30">
        <f t="shared" si="18"/>
        <v>0</v>
      </c>
      <c r="J59" s="30">
        <f t="shared" si="18"/>
        <v>0</v>
      </c>
      <c r="K59" s="30">
        <f t="shared" si="18"/>
        <v>0</v>
      </c>
      <c r="L59" s="30">
        <f t="shared" si="18"/>
        <v>0</v>
      </c>
      <c r="M59" s="30">
        <f t="shared" si="18"/>
        <v>0</v>
      </c>
      <c r="N59" s="30">
        <f t="shared" si="18"/>
        <v>0</v>
      </c>
      <c r="O59" s="30">
        <f t="shared" si="18"/>
        <v>0</v>
      </c>
      <c r="P59" s="30">
        <f t="shared" si="18"/>
        <v>0</v>
      </c>
      <c r="Q59" s="30">
        <f t="shared" si="18"/>
        <v>0</v>
      </c>
      <c r="R59" s="30">
        <f t="shared" si="18"/>
        <v>0</v>
      </c>
      <c r="S59" s="30">
        <f t="shared" si="18"/>
        <v>0</v>
      </c>
      <c r="T59" s="30">
        <f t="shared" si="18"/>
        <v>0</v>
      </c>
      <c r="U59" s="30">
        <f t="shared" si="18"/>
        <v>0</v>
      </c>
      <c r="V59" s="30">
        <f t="shared" si="18"/>
        <v>0</v>
      </c>
      <c r="W59" s="30">
        <f t="shared" si="18"/>
        <v>0</v>
      </c>
      <c r="X59" s="114"/>
      <c r="Y59" s="14"/>
      <c r="Z59" s="14"/>
      <c r="AA59" s="68"/>
      <c r="AB59" s="150"/>
      <c r="AC59" s="151"/>
      <c r="AD59" s="33">
        <f t="shared" si="16"/>
        <v>0</v>
      </c>
      <c r="AE59" s="17"/>
      <c r="AK59" s="232"/>
      <c r="AL59" s="233"/>
    </row>
    <row r="60" spans="1:40" ht="123.75" customHeight="1" x14ac:dyDescent="2.1">
      <c r="B60" s="172" t="s">
        <v>78</v>
      </c>
      <c r="C60" s="142" t="s">
        <v>2</v>
      </c>
      <c r="D60" s="143"/>
      <c r="E60" s="142" t="s">
        <v>3</v>
      </c>
      <c r="F60" s="143"/>
      <c r="G60" s="142" t="s">
        <v>4</v>
      </c>
      <c r="H60" s="143"/>
      <c r="I60" s="142" t="s">
        <v>5</v>
      </c>
      <c r="J60" s="143"/>
      <c r="K60" s="142" t="s">
        <v>6</v>
      </c>
      <c r="L60" s="143"/>
      <c r="M60" s="142" t="s">
        <v>8</v>
      </c>
      <c r="N60" s="143"/>
      <c r="O60" s="142" t="s">
        <v>9</v>
      </c>
      <c r="P60" s="143"/>
      <c r="Q60" s="142" t="s">
        <v>10</v>
      </c>
      <c r="R60" s="143"/>
      <c r="S60" s="142" t="s">
        <v>11</v>
      </c>
      <c r="T60" s="143"/>
      <c r="U60" s="142" t="s">
        <v>12</v>
      </c>
      <c r="V60" s="143"/>
      <c r="W60" s="172" t="s">
        <v>13</v>
      </c>
      <c r="X60" s="111"/>
      <c r="Y60" s="172" t="s">
        <v>14</v>
      </c>
      <c r="Z60" s="172" t="s">
        <v>15</v>
      </c>
      <c r="AA60" s="172" t="s">
        <v>78</v>
      </c>
      <c r="AB60" s="148"/>
      <c r="AC60" s="149"/>
      <c r="AD60" s="6" t="s">
        <v>17</v>
      </c>
      <c r="AE60" s="7"/>
      <c r="AK60" s="70"/>
      <c r="AL60" s="71"/>
    </row>
    <row r="61" spans="1:40" s="4" customFormat="1" ht="138" customHeight="1" thickBot="1" x14ac:dyDescent="2.4">
      <c r="B61" s="173"/>
      <c r="C61" s="9" t="s">
        <v>18</v>
      </c>
      <c r="D61" s="9" t="s">
        <v>19</v>
      </c>
      <c r="E61" s="9" t="s">
        <v>18</v>
      </c>
      <c r="F61" s="9" t="s">
        <v>19</v>
      </c>
      <c r="G61" s="9" t="s">
        <v>18</v>
      </c>
      <c r="H61" s="9" t="s">
        <v>19</v>
      </c>
      <c r="I61" s="9" t="s">
        <v>18</v>
      </c>
      <c r="J61" s="9" t="s">
        <v>19</v>
      </c>
      <c r="K61" s="9" t="s">
        <v>18</v>
      </c>
      <c r="L61" s="9" t="s">
        <v>19</v>
      </c>
      <c r="M61" s="9" t="s">
        <v>18</v>
      </c>
      <c r="N61" s="9" t="s">
        <v>19</v>
      </c>
      <c r="O61" s="9" t="s">
        <v>18</v>
      </c>
      <c r="P61" s="9" t="s">
        <v>19</v>
      </c>
      <c r="Q61" s="9" t="s">
        <v>18</v>
      </c>
      <c r="R61" s="9" t="s">
        <v>19</v>
      </c>
      <c r="S61" s="9" t="s">
        <v>18</v>
      </c>
      <c r="T61" s="9" t="s">
        <v>19</v>
      </c>
      <c r="U61" s="9" t="s">
        <v>18</v>
      </c>
      <c r="V61" s="9" t="s">
        <v>19</v>
      </c>
      <c r="W61" s="173"/>
      <c r="X61" s="112"/>
      <c r="Y61" s="173"/>
      <c r="Z61" s="173"/>
      <c r="AA61" s="173"/>
      <c r="AB61" s="10"/>
      <c r="AC61" s="11"/>
      <c r="AD61" s="6"/>
      <c r="AE61" s="7"/>
      <c r="AF61" s="2"/>
      <c r="AG61" s="2"/>
      <c r="AH61" s="2"/>
      <c r="AI61" s="2"/>
      <c r="AJ61" s="2"/>
      <c r="AK61" s="8"/>
      <c r="AL61" s="8"/>
    </row>
    <row r="62" spans="1:40" s="12" customFormat="1" ht="113.25" customHeight="1" x14ac:dyDescent="2.1">
      <c r="B62" s="13" t="s">
        <v>79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13">
        <v>0</v>
      </c>
      <c r="Y62" s="14">
        <f t="shared" ref="Y62:Y68" si="19">SUM(C62,E62,G62,I62,K62,,M62,O62,Q62,S62,U62,W62)</f>
        <v>0</v>
      </c>
      <c r="Z62" s="14">
        <f t="shared" ref="Z62:Z68" si="20">SUM(D62,F62,H62,J62,L62,,N62,P62,R62,T62,V62)</f>
        <v>0</v>
      </c>
      <c r="AA62" s="13" t="s">
        <v>79</v>
      </c>
      <c r="AB62" s="176">
        <f>SUM(Y62:Y68)</f>
        <v>0</v>
      </c>
      <c r="AC62" s="177"/>
      <c r="AD62" s="16">
        <f>X62</f>
        <v>0</v>
      </c>
      <c r="AE62" s="17"/>
      <c r="AF62" s="72"/>
      <c r="AG62" s="73"/>
      <c r="AH62" s="73"/>
      <c r="AI62" s="73"/>
      <c r="AJ62" s="74"/>
      <c r="AK62" s="70"/>
      <c r="AL62" s="71"/>
    </row>
    <row r="63" spans="1:40" s="12" customFormat="1" ht="113.25" customHeight="1" x14ac:dyDescent="2.1">
      <c r="B63" s="13" t="s">
        <v>80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13">
        <v>0</v>
      </c>
      <c r="Y63" s="14">
        <f t="shared" si="19"/>
        <v>0</v>
      </c>
      <c r="Z63" s="14">
        <f t="shared" si="20"/>
        <v>0</v>
      </c>
      <c r="AA63" s="13" t="s">
        <v>80</v>
      </c>
      <c r="AB63" s="208"/>
      <c r="AC63" s="209"/>
      <c r="AD63" s="16">
        <f t="shared" ref="AD63:AD68" si="21">X63</f>
        <v>0</v>
      </c>
      <c r="AE63" s="17"/>
      <c r="AF63" s="210" t="s">
        <v>78</v>
      </c>
      <c r="AG63" s="211"/>
      <c r="AH63" s="211"/>
      <c r="AI63" s="211"/>
      <c r="AJ63" s="212"/>
      <c r="AK63" s="70"/>
      <c r="AL63" s="71"/>
    </row>
    <row r="64" spans="1:40" s="12" customFormat="1" ht="113.25" customHeight="1" x14ac:dyDescent="2.1">
      <c r="B64" s="13" t="s">
        <v>81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13">
        <v>0</v>
      </c>
      <c r="Y64" s="14">
        <f t="shared" si="19"/>
        <v>0</v>
      </c>
      <c r="Z64" s="14">
        <f t="shared" si="20"/>
        <v>0</v>
      </c>
      <c r="AA64" s="13" t="s">
        <v>81</v>
      </c>
      <c r="AB64" s="208"/>
      <c r="AC64" s="209"/>
      <c r="AD64" s="16">
        <f t="shared" si="21"/>
        <v>0</v>
      </c>
      <c r="AE64" s="17"/>
      <c r="AF64" s="213">
        <f>SUM(AD62:AD68)</f>
        <v>0</v>
      </c>
      <c r="AG64" s="214"/>
      <c r="AH64" s="214"/>
      <c r="AI64" s="214"/>
      <c r="AJ64" s="215"/>
      <c r="AK64" s="70"/>
      <c r="AL64" s="71"/>
    </row>
    <row r="65" spans="2:40" s="12" customFormat="1" ht="113.25" customHeight="1" x14ac:dyDescent="2.1">
      <c r="B65" s="13" t="s">
        <v>82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13">
        <v>0</v>
      </c>
      <c r="Y65" s="14">
        <f t="shared" si="19"/>
        <v>0</v>
      </c>
      <c r="Z65" s="14">
        <f t="shared" si="20"/>
        <v>0</v>
      </c>
      <c r="AA65" s="13" t="s">
        <v>82</v>
      </c>
      <c r="AB65" s="208"/>
      <c r="AC65" s="209"/>
      <c r="AD65" s="16">
        <f t="shared" si="21"/>
        <v>0</v>
      </c>
      <c r="AE65" s="17"/>
      <c r="AF65" s="56"/>
      <c r="AG65" s="54"/>
      <c r="AH65" s="54"/>
      <c r="AI65" s="54"/>
      <c r="AJ65" s="55"/>
      <c r="AK65" s="70"/>
      <c r="AL65" s="71"/>
    </row>
    <row r="66" spans="2:40" s="12" customFormat="1" ht="113.25" customHeight="1" x14ac:dyDescent="2.1">
      <c r="B66" s="13" t="s">
        <v>83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13">
        <v>0</v>
      </c>
      <c r="Y66" s="14">
        <f t="shared" si="19"/>
        <v>0</v>
      </c>
      <c r="Z66" s="14">
        <f t="shared" si="20"/>
        <v>0</v>
      </c>
      <c r="AA66" s="13" t="s">
        <v>83</v>
      </c>
      <c r="AB66" s="208"/>
      <c r="AC66" s="209"/>
      <c r="AD66" s="16">
        <f t="shared" si="21"/>
        <v>0</v>
      </c>
      <c r="AE66" s="17"/>
      <c r="AF66" s="56"/>
      <c r="AG66" s="54"/>
      <c r="AH66" s="54"/>
      <c r="AI66" s="54"/>
      <c r="AJ66" s="55"/>
      <c r="AK66" s="70"/>
      <c r="AL66" s="71"/>
    </row>
    <row r="67" spans="2:40" s="12" customFormat="1" ht="113.25" customHeight="1" x14ac:dyDescent="2.1">
      <c r="B67" s="13" t="s">
        <v>84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13">
        <v>0</v>
      </c>
      <c r="Y67" s="14">
        <f t="shared" si="19"/>
        <v>0</v>
      </c>
      <c r="Z67" s="14">
        <f t="shared" si="20"/>
        <v>0</v>
      </c>
      <c r="AA67" s="13" t="s">
        <v>84</v>
      </c>
      <c r="AB67" s="178"/>
      <c r="AC67" s="179"/>
      <c r="AD67" s="16">
        <f t="shared" si="21"/>
        <v>0</v>
      </c>
      <c r="AE67" s="17"/>
      <c r="AF67" s="58"/>
      <c r="AG67" s="2"/>
      <c r="AH67" s="2"/>
      <c r="AI67" s="2"/>
      <c r="AJ67" s="57"/>
      <c r="AK67" s="70"/>
      <c r="AL67" s="71"/>
    </row>
    <row r="68" spans="2:40" s="12" customFormat="1" ht="113.25" customHeight="1" x14ac:dyDescent="2.1">
      <c r="B68" s="13" t="s">
        <v>85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13">
        <v>0</v>
      </c>
      <c r="Y68" s="14">
        <f t="shared" si="19"/>
        <v>0</v>
      </c>
      <c r="Z68" s="14">
        <f t="shared" si="20"/>
        <v>0</v>
      </c>
      <c r="AA68" s="13" t="s">
        <v>85</v>
      </c>
      <c r="AB68" s="154"/>
      <c r="AC68" s="155"/>
      <c r="AD68" s="16">
        <f t="shared" si="21"/>
        <v>0</v>
      </c>
      <c r="AE68" s="17"/>
      <c r="AF68" s="2"/>
      <c r="AG68" s="2"/>
      <c r="AH68" s="2"/>
      <c r="AI68" s="2"/>
      <c r="AJ68" s="2"/>
      <c r="AK68" s="70"/>
      <c r="AL68" s="71"/>
    </row>
    <row r="69" spans="2:40" s="12" customFormat="1" ht="113.25" customHeight="1" x14ac:dyDescent="2.1">
      <c r="B69" s="13"/>
      <c r="C69" s="30">
        <f t="shared" ref="C69:W69" si="22">SUM(C62:C68)</f>
        <v>0</v>
      </c>
      <c r="D69" s="30">
        <f t="shared" si="22"/>
        <v>0</v>
      </c>
      <c r="E69" s="30">
        <f t="shared" si="22"/>
        <v>0</v>
      </c>
      <c r="F69" s="30">
        <f t="shared" si="22"/>
        <v>0</v>
      </c>
      <c r="G69" s="30">
        <f t="shared" si="22"/>
        <v>0</v>
      </c>
      <c r="H69" s="30">
        <f t="shared" si="22"/>
        <v>0</v>
      </c>
      <c r="I69" s="30">
        <f t="shared" si="22"/>
        <v>0</v>
      </c>
      <c r="J69" s="30">
        <f t="shared" si="22"/>
        <v>0</v>
      </c>
      <c r="K69" s="30">
        <f t="shared" si="22"/>
        <v>0</v>
      </c>
      <c r="L69" s="30">
        <f t="shared" si="22"/>
        <v>0</v>
      </c>
      <c r="M69" s="30">
        <f t="shared" si="22"/>
        <v>0</v>
      </c>
      <c r="N69" s="30">
        <f t="shared" si="22"/>
        <v>0</v>
      </c>
      <c r="O69" s="30">
        <f t="shared" si="22"/>
        <v>0</v>
      </c>
      <c r="P69" s="30">
        <f t="shared" si="22"/>
        <v>0</v>
      </c>
      <c r="Q69" s="30">
        <f t="shared" si="22"/>
        <v>0</v>
      </c>
      <c r="R69" s="30">
        <f t="shared" si="22"/>
        <v>0</v>
      </c>
      <c r="S69" s="30">
        <f t="shared" si="22"/>
        <v>0</v>
      </c>
      <c r="T69" s="30">
        <f t="shared" si="22"/>
        <v>0</v>
      </c>
      <c r="U69" s="30">
        <f t="shared" si="22"/>
        <v>0</v>
      </c>
      <c r="V69" s="30">
        <f t="shared" si="22"/>
        <v>0</v>
      </c>
      <c r="W69" s="30">
        <f t="shared" si="22"/>
        <v>0</v>
      </c>
      <c r="X69" s="114"/>
      <c r="Y69" s="14"/>
      <c r="Z69" s="14"/>
      <c r="AA69" s="13"/>
      <c r="AB69" s="154"/>
      <c r="AC69" s="155"/>
      <c r="AD69" s="16">
        <v>0</v>
      </c>
      <c r="AE69" s="17"/>
      <c r="AF69" s="2"/>
      <c r="AG69" s="2"/>
      <c r="AH69" s="2"/>
      <c r="AI69" s="2"/>
      <c r="AJ69" s="2"/>
      <c r="AK69" s="70"/>
      <c r="AL69" s="71"/>
    </row>
    <row r="70" spans="2:40" s="4" customFormat="1" ht="132" customHeight="1" thickBot="1" x14ac:dyDescent="2.4">
      <c r="B70" s="48" t="s">
        <v>1</v>
      </c>
      <c r="C70" s="142" t="s">
        <v>2</v>
      </c>
      <c r="D70" s="143"/>
      <c r="E70" s="142" t="s">
        <v>3</v>
      </c>
      <c r="F70" s="143"/>
      <c r="G70" s="142" t="s">
        <v>4</v>
      </c>
      <c r="H70" s="143"/>
      <c r="I70" s="142" t="s">
        <v>5</v>
      </c>
      <c r="J70" s="143"/>
      <c r="K70" s="142" t="s">
        <v>6</v>
      </c>
      <c r="L70" s="143"/>
      <c r="M70" s="142" t="s">
        <v>8</v>
      </c>
      <c r="N70" s="143"/>
      <c r="O70" s="142" t="s">
        <v>9</v>
      </c>
      <c r="P70" s="143"/>
      <c r="Q70" s="142" t="s">
        <v>10</v>
      </c>
      <c r="R70" s="143"/>
      <c r="S70" s="142" t="s">
        <v>11</v>
      </c>
      <c r="T70" s="143"/>
      <c r="U70" s="142" t="s">
        <v>12</v>
      </c>
      <c r="V70" s="143"/>
      <c r="W70" s="9" t="s">
        <v>13</v>
      </c>
      <c r="X70" s="119"/>
      <c r="Y70" s="49" t="s">
        <v>14</v>
      </c>
      <c r="Z70" s="49" t="s">
        <v>15</v>
      </c>
      <c r="AA70" s="48" t="s">
        <v>1</v>
      </c>
      <c r="AB70" s="148"/>
      <c r="AC70" s="149"/>
      <c r="AD70" s="6" t="s">
        <v>17</v>
      </c>
      <c r="AE70" s="7"/>
      <c r="AF70" s="2"/>
      <c r="AG70" s="2"/>
      <c r="AH70" s="2"/>
      <c r="AI70" s="2"/>
      <c r="AJ70" s="2"/>
      <c r="AK70" s="8"/>
      <c r="AL70" s="8"/>
      <c r="AM70" s="12"/>
      <c r="AN70" s="12"/>
    </row>
    <row r="71" spans="2:40" s="12" customFormat="1" ht="113.25" customHeight="1" x14ac:dyDescent="2.1">
      <c r="B71" s="13" t="s">
        <v>86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13">
        <v>0</v>
      </c>
      <c r="Y71" s="14">
        <f>SUM(C71,E71,G71,I71,K71,,M71,O71,Q71,S71,U71,W71)</f>
        <v>0</v>
      </c>
      <c r="Z71" s="14">
        <f>SUM(D71,F71,H71,J71,L71,,N71,P71,R71,T71,V71)</f>
        <v>0</v>
      </c>
      <c r="AA71" s="13" t="s">
        <v>86</v>
      </c>
      <c r="AB71" s="176">
        <f>SUM(Y71:Y72)</f>
        <v>0</v>
      </c>
      <c r="AC71" s="177"/>
      <c r="AD71" s="16">
        <f>X71</f>
        <v>0</v>
      </c>
      <c r="AE71" s="17"/>
      <c r="AF71" s="216" t="s">
        <v>87</v>
      </c>
      <c r="AG71" s="217"/>
      <c r="AH71" s="217"/>
      <c r="AI71" s="217"/>
      <c r="AJ71" s="217"/>
      <c r="AK71" s="218">
        <f>SUM(AD71:AD81)</f>
        <v>0</v>
      </c>
      <c r="AL71" s="219"/>
      <c r="AM71" s="29"/>
      <c r="AN71" s="29"/>
    </row>
    <row r="72" spans="2:40" s="29" customFormat="1" ht="113.25" customHeight="1" thickBot="1" x14ac:dyDescent="2.15">
      <c r="B72" s="38" t="s">
        <v>88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13">
        <v>0</v>
      </c>
      <c r="Y72" s="14">
        <f>SUM(C72,E72,G72,I72,K72,,M72,O72,Q72,S72,U72,W72)</f>
        <v>0</v>
      </c>
      <c r="Z72" s="14">
        <f>SUM(D72,F72,H72,J72,L72,,N72,P72,R72,T72,V72)</f>
        <v>0</v>
      </c>
      <c r="AA72" s="38" t="s">
        <v>88</v>
      </c>
      <c r="AB72" s="178"/>
      <c r="AC72" s="179"/>
      <c r="AD72" s="16">
        <f t="shared" ref="AD72:AD86" si="23">X72</f>
        <v>0</v>
      </c>
      <c r="AE72" s="75"/>
      <c r="AF72" s="204">
        <f>+AD71+AD72</f>
        <v>0</v>
      </c>
      <c r="AG72" s="205"/>
      <c r="AH72" s="205"/>
      <c r="AI72" s="205"/>
      <c r="AJ72" s="205"/>
      <c r="AK72" s="220"/>
      <c r="AL72" s="221"/>
      <c r="AM72" s="12"/>
      <c r="AN72" s="12"/>
    </row>
    <row r="73" spans="2:40" s="29" customFormat="1" ht="113.25" customHeight="1" thickBot="1" x14ac:dyDescent="2.15">
      <c r="B73" s="38"/>
      <c r="C73" s="30">
        <f>SUM(C71:C72)</f>
        <v>0</v>
      </c>
      <c r="D73" s="30">
        <f t="shared" ref="D73:W73" si="24">SUM(D71:D72)</f>
        <v>0</v>
      </c>
      <c r="E73" s="30">
        <f t="shared" si="24"/>
        <v>0</v>
      </c>
      <c r="F73" s="30">
        <f t="shared" si="24"/>
        <v>0</v>
      </c>
      <c r="G73" s="30">
        <f t="shared" si="24"/>
        <v>0</v>
      </c>
      <c r="H73" s="30">
        <f t="shared" si="24"/>
        <v>0</v>
      </c>
      <c r="I73" s="30">
        <f t="shared" si="24"/>
        <v>0</v>
      </c>
      <c r="J73" s="30">
        <f t="shared" si="24"/>
        <v>0</v>
      </c>
      <c r="K73" s="30">
        <f t="shared" si="24"/>
        <v>0</v>
      </c>
      <c r="L73" s="30">
        <f t="shared" si="24"/>
        <v>0</v>
      </c>
      <c r="M73" s="30">
        <f t="shared" si="24"/>
        <v>0</v>
      </c>
      <c r="N73" s="30">
        <f t="shared" si="24"/>
        <v>0</v>
      </c>
      <c r="O73" s="30">
        <f t="shared" si="24"/>
        <v>0</v>
      </c>
      <c r="P73" s="30">
        <f t="shared" si="24"/>
        <v>0</v>
      </c>
      <c r="Q73" s="30">
        <f t="shared" si="24"/>
        <v>0</v>
      </c>
      <c r="R73" s="30">
        <f t="shared" si="24"/>
        <v>0</v>
      </c>
      <c r="S73" s="30">
        <f t="shared" si="24"/>
        <v>0</v>
      </c>
      <c r="T73" s="30">
        <f t="shared" si="24"/>
        <v>0</v>
      </c>
      <c r="U73" s="30">
        <f t="shared" si="24"/>
        <v>0</v>
      </c>
      <c r="V73" s="30">
        <f t="shared" si="24"/>
        <v>0</v>
      </c>
      <c r="W73" s="30">
        <f t="shared" si="24"/>
        <v>0</v>
      </c>
      <c r="X73" s="114">
        <v>0</v>
      </c>
      <c r="Y73" s="14"/>
      <c r="Z73" s="14"/>
      <c r="AA73" s="38"/>
      <c r="AB73" s="222"/>
      <c r="AC73" s="223"/>
      <c r="AD73" s="16">
        <f t="shared" si="23"/>
        <v>0</v>
      </c>
      <c r="AE73" s="75"/>
      <c r="AF73" s="44"/>
      <c r="AG73" s="76"/>
      <c r="AH73" s="76"/>
      <c r="AI73" s="76"/>
      <c r="AJ73" s="76"/>
      <c r="AK73" s="220"/>
      <c r="AL73" s="221"/>
      <c r="AM73" s="12"/>
      <c r="AN73" s="12"/>
    </row>
    <row r="74" spans="2:40" s="12" customFormat="1" ht="113.25" customHeight="1" x14ac:dyDescent="2.1">
      <c r="B74" s="13" t="s">
        <v>89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17">
        <v>0</v>
      </c>
      <c r="Y74" s="14">
        <f t="shared" ref="Y74:Y86" si="25">SUM(C74,E74,G74,I74,K74,,M74,O74,Q74,S74,U74,W74)</f>
        <v>0</v>
      </c>
      <c r="Z74" s="14">
        <f t="shared" ref="Z74:Z86" si="26">SUM(D74,F74,H74,J74,L74,,N74,P74,R74,T74,V74)</f>
        <v>0</v>
      </c>
      <c r="AA74" s="13" t="s">
        <v>89</v>
      </c>
      <c r="AB74" s="176">
        <f>SUM(Y74:Y75)</f>
        <v>0</v>
      </c>
      <c r="AC74" s="177"/>
      <c r="AD74" s="16">
        <f t="shared" si="23"/>
        <v>0</v>
      </c>
      <c r="AE74" s="17"/>
      <c r="AF74" s="182" t="s">
        <v>90</v>
      </c>
      <c r="AG74" s="183"/>
      <c r="AH74" s="183"/>
      <c r="AI74" s="183"/>
      <c r="AJ74" s="183"/>
      <c r="AK74" s="220"/>
      <c r="AL74" s="221"/>
    </row>
    <row r="75" spans="2:40" s="12" customFormat="1" ht="113.25" customHeight="1" thickBot="1" x14ac:dyDescent="2.15">
      <c r="B75" s="13" t="s">
        <v>91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17">
        <v>0</v>
      </c>
      <c r="Y75" s="14">
        <f t="shared" si="25"/>
        <v>0</v>
      </c>
      <c r="Z75" s="14">
        <f t="shared" si="26"/>
        <v>0</v>
      </c>
      <c r="AA75" s="13" t="s">
        <v>91</v>
      </c>
      <c r="AB75" s="178"/>
      <c r="AC75" s="179"/>
      <c r="AD75" s="16">
        <f t="shared" si="23"/>
        <v>0</v>
      </c>
      <c r="AE75" s="17"/>
      <c r="AF75" s="204">
        <f>+AD74+AD75</f>
        <v>0</v>
      </c>
      <c r="AG75" s="205"/>
      <c r="AH75" s="205"/>
      <c r="AI75" s="205"/>
      <c r="AJ75" s="205"/>
      <c r="AK75" s="220"/>
      <c r="AL75" s="221"/>
    </row>
    <row r="76" spans="2:40" s="12" customFormat="1" ht="113.25" customHeight="1" x14ac:dyDescent="2.1">
      <c r="B76" s="13" t="s">
        <v>92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13">
        <v>0</v>
      </c>
      <c r="Y76" s="14">
        <f t="shared" si="25"/>
        <v>0</v>
      </c>
      <c r="Z76" s="14">
        <f t="shared" si="26"/>
        <v>0</v>
      </c>
      <c r="AA76" s="13" t="s">
        <v>92</v>
      </c>
      <c r="AB76" s="176">
        <f>SUM(Y76:Y77)</f>
        <v>0</v>
      </c>
      <c r="AC76" s="177"/>
      <c r="AD76" s="16">
        <f t="shared" si="23"/>
        <v>0</v>
      </c>
      <c r="AE76" s="17"/>
      <c r="AF76" s="182" t="s">
        <v>93</v>
      </c>
      <c r="AG76" s="183"/>
      <c r="AH76" s="183"/>
      <c r="AI76" s="183"/>
      <c r="AJ76" s="183"/>
      <c r="AK76" s="220"/>
      <c r="AL76" s="221"/>
    </row>
    <row r="77" spans="2:40" s="12" customFormat="1" ht="113.25" customHeight="1" thickBot="1" x14ac:dyDescent="2.15">
      <c r="B77" s="13" t="s">
        <v>94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13">
        <v>0</v>
      </c>
      <c r="Y77" s="14">
        <f t="shared" si="25"/>
        <v>0</v>
      </c>
      <c r="Z77" s="14">
        <f t="shared" si="26"/>
        <v>0</v>
      </c>
      <c r="AA77" s="13" t="s">
        <v>94</v>
      </c>
      <c r="AB77" s="178"/>
      <c r="AC77" s="179"/>
      <c r="AD77" s="16">
        <f t="shared" si="23"/>
        <v>0</v>
      </c>
      <c r="AE77" s="17"/>
      <c r="AF77" s="204">
        <f>+AD76+AD77</f>
        <v>0</v>
      </c>
      <c r="AG77" s="205"/>
      <c r="AH77" s="205"/>
      <c r="AI77" s="205"/>
      <c r="AJ77" s="205"/>
      <c r="AK77" s="220"/>
      <c r="AL77" s="221"/>
    </row>
    <row r="78" spans="2:40" s="12" customFormat="1" ht="113.25" customHeight="1" x14ac:dyDescent="2.1">
      <c r="B78" s="13" t="s">
        <v>95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17">
        <v>0</v>
      </c>
      <c r="Y78" s="14">
        <f t="shared" si="25"/>
        <v>0</v>
      </c>
      <c r="Z78" s="14">
        <f t="shared" si="26"/>
        <v>0</v>
      </c>
      <c r="AA78" s="13" t="s">
        <v>95</v>
      </c>
      <c r="AB78" s="176">
        <f>SUM(Y78:Y79)</f>
        <v>0</v>
      </c>
      <c r="AC78" s="177"/>
      <c r="AD78" s="16">
        <f t="shared" si="23"/>
        <v>0</v>
      </c>
      <c r="AE78" s="17"/>
      <c r="AF78" s="182" t="s">
        <v>96</v>
      </c>
      <c r="AG78" s="183"/>
      <c r="AH78" s="183"/>
      <c r="AI78" s="183"/>
      <c r="AJ78" s="183"/>
      <c r="AK78" s="220"/>
      <c r="AL78" s="221"/>
    </row>
    <row r="79" spans="2:40" s="12" customFormat="1" ht="113.25" customHeight="1" thickBot="1" x14ac:dyDescent="2.15">
      <c r="B79" s="13" t="s">
        <v>97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13">
        <v>0</v>
      </c>
      <c r="Y79" s="14">
        <f t="shared" si="25"/>
        <v>0</v>
      </c>
      <c r="Z79" s="14">
        <f t="shared" si="26"/>
        <v>0</v>
      </c>
      <c r="AA79" s="13" t="s">
        <v>97</v>
      </c>
      <c r="AB79" s="178"/>
      <c r="AC79" s="179"/>
      <c r="AD79" s="16">
        <f t="shared" si="23"/>
        <v>0</v>
      </c>
      <c r="AE79" s="17"/>
      <c r="AF79" s="204">
        <f>+AD78+AD79</f>
        <v>0</v>
      </c>
      <c r="AG79" s="205"/>
      <c r="AH79" s="205"/>
      <c r="AI79" s="205"/>
      <c r="AJ79" s="205"/>
      <c r="AK79" s="77"/>
      <c r="AL79" s="78"/>
    </row>
    <row r="80" spans="2:40" s="12" customFormat="1" ht="113.25" customHeight="1" x14ac:dyDescent="2.1">
      <c r="B80" s="13" t="s">
        <v>98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13">
        <v>0</v>
      </c>
      <c r="Y80" s="14">
        <f t="shared" si="25"/>
        <v>0</v>
      </c>
      <c r="Z80" s="14">
        <f t="shared" si="26"/>
        <v>0</v>
      </c>
      <c r="AA80" s="13" t="s">
        <v>98</v>
      </c>
      <c r="AB80" s="176">
        <f>SUM(Y80:Y81)</f>
        <v>0</v>
      </c>
      <c r="AC80" s="177"/>
      <c r="AD80" s="16">
        <f t="shared" si="23"/>
        <v>0</v>
      </c>
      <c r="AE80" s="17"/>
      <c r="AF80" s="182" t="s">
        <v>99</v>
      </c>
      <c r="AG80" s="183"/>
      <c r="AH80" s="183"/>
      <c r="AI80" s="183"/>
      <c r="AJ80" s="183"/>
      <c r="AK80" s="202" t="s">
        <v>100</v>
      </c>
      <c r="AL80" s="203"/>
    </row>
    <row r="81" spans="1:38" s="12" customFormat="1" ht="113.25" customHeight="1" thickBot="1" x14ac:dyDescent="2.15">
      <c r="B81" s="13" t="s">
        <v>101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13">
        <v>0</v>
      </c>
      <c r="Y81" s="14">
        <f t="shared" si="25"/>
        <v>0</v>
      </c>
      <c r="Z81" s="14">
        <f t="shared" si="26"/>
        <v>0</v>
      </c>
      <c r="AA81" s="13" t="s">
        <v>101</v>
      </c>
      <c r="AB81" s="178"/>
      <c r="AC81" s="179"/>
      <c r="AD81" s="16">
        <f t="shared" si="23"/>
        <v>0</v>
      </c>
      <c r="AE81" s="17"/>
      <c r="AF81" s="204">
        <f>+AD80+AD81</f>
        <v>0</v>
      </c>
      <c r="AG81" s="205"/>
      <c r="AH81" s="205"/>
      <c r="AI81" s="205"/>
      <c r="AJ81" s="205"/>
      <c r="AK81" s="202"/>
      <c r="AL81" s="203"/>
    </row>
    <row r="82" spans="1:38" s="12" customFormat="1" ht="105.75" customHeight="1" x14ac:dyDescent="2.1">
      <c r="B82" s="13" t="s">
        <v>102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13">
        <v>0</v>
      </c>
      <c r="Y82" s="14">
        <f t="shared" si="25"/>
        <v>0</v>
      </c>
      <c r="Z82" s="14">
        <f t="shared" si="26"/>
        <v>0</v>
      </c>
      <c r="AA82" s="13" t="s">
        <v>102</v>
      </c>
      <c r="AB82" s="154"/>
      <c r="AC82" s="155"/>
      <c r="AD82" s="16">
        <f t="shared" si="23"/>
        <v>0</v>
      </c>
      <c r="AE82" s="17"/>
      <c r="AF82" s="45"/>
      <c r="AG82" s="76"/>
      <c r="AH82" s="76"/>
      <c r="AI82" s="76"/>
      <c r="AJ82" s="76"/>
      <c r="AK82" s="202"/>
      <c r="AL82" s="203"/>
    </row>
    <row r="83" spans="1:38" s="12" customFormat="1" ht="105.75" customHeight="1" x14ac:dyDescent="2.1">
      <c r="B83" s="13" t="s">
        <v>103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13">
        <v>0</v>
      </c>
      <c r="Y83" s="14">
        <f t="shared" si="25"/>
        <v>0</v>
      </c>
      <c r="Z83" s="14">
        <f t="shared" si="26"/>
        <v>0</v>
      </c>
      <c r="AA83" s="13" t="s">
        <v>103</v>
      </c>
      <c r="AB83" s="154"/>
      <c r="AC83" s="155"/>
      <c r="AD83" s="16">
        <f t="shared" si="23"/>
        <v>0</v>
      </c>
      <c r="AE83" s="17"/>
      <c r="AF83" s="45"/>
      <c r="AG83" s="76"/>
      <c r="AH83" s="76"/>
      <c r="AI83" s="76"/>
      <c r="AJ83" s="76"/>
      <c r="AK83" s="202"/>
      <c r="AL83" s="203"/>
    </row>
    <row r="84" spans="1:38" s="12" customFormat="1" ht="105.75" customHeight="1" x14ac:dyDescent="2.1">
      <c r="B84" s="13" t="s">
        <v>104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13">
        <v>0</v>
      </c>
      <c r="Y84" s="14">
        <f t="shared" si="25"/>
        <v>0</v>
      </c>
      <c r="Z84" s="14">
        <f t="shared" si="26"/>
        <v>0</v>
      </c>
      <c r="AA84" s="13" t="s">
        <v>104</v>
      </c>
      <c r="AB84" s="154"/>
      <c r="AC84" s="155"/>
      <c r="AD84" s="16">
        <f t="shared" si="23"/>
        <v>0</v>
      </c>
      <c r="AE84" s="17"/>
      <c r="AF84" s="45"/>
      <c r="AG84" s="76"/>
      <c r="AH84" s="76"/>
      <c r="AI84" s="76"/>
      <c r="AJ84" s="76"/>
      <c r="AK84" s="202"/>
      <c r="AL84" s="203"/>
    </row>
    <row r="85" spans="1:38" s="12" customFormat="1" ht="105.75" customHeight="1" x14ac:dyDescent="2.1">
      <c r="B85" s="13" t="s">
        <v>105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13">
        <v>0</v>
      </c>
      <c r="Y85" s="14">
        <f t="shared" si="25"/>
        <v>0</v>
      </c>
      <c r="Z85" s="14">
        <f t="shared" si="26"/>
        <v>0</v>
      </c>
      <c r="AA85" s="13" t="s">
        <v>105</v>
      </c>
      <c r="AB85" s="154"/>
      <c r="AC85" s="155"/>
      <c r="AD85" s="16">
        <f t="shared" si="23"/>
        <v>0</v>
      </c>
      <c r="AE85" s="17"/>
      <c r="AF85" s="45"/>
      <c r="AG85" s="76"/>
      <c r="AH85" s="76"/>
      <c r="AI85" s="76"/>
      <c r="AJ85" s="76"/>
      <c r="AK85" s="202"/>
      <c r="AL85" s="203"/>
    </row>
    <row r="86" spans="1:38" s="12" customFormat="1" ht="105.75" customHeight="1" x14ac:dyDescent="2.1">
      <c r="B86" s="13" t="s">
        <v>106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13">
        <v>0</v>
      </c>
      <c r="Y86" s="14">
        <f t="shared" si="25"/>
        <v>0</v>
      </c>
      <c r="Z86" s="14">
        <f t="shared" si="26"/>
        <v>0</v>
      </c>
      <c r="AA86" s="13" t="s">
        <v>106</v>
      </c>
      <c r="AB86" s="206">
        <f>SUM(Y86:Y86)</f>
        <v>0</v>
      </c>
      <c r="AC86" s="207"/>
      <c r="AD86" s="16">
        <f t="shared" si="23"/>
        <v>0</v>
      </c>
      <c r="AE86" s="17"/>
      <c r="AF86" s="2"/>
      <c r="AG86" s="2"/>
      <c r="AH86" s="2"/>
      <c r="AI86" s="2"/>
      <c r="AJ86" s="2"/>
      <c r="AK86" s="202"/>
      <c r="AL86" s="203"/>
    </row>
    <row r="87" spans="1:38" ht="123.75" customHeight="1" x14ac:dyDescent="2.1">
      <c r="B87" s="79" t="s">
        <v>107</v>
      </c>
      <c r="C87" s="142" t="s">
        <v>2</v>
      </c>
      <c r="D87" s="143"/>
      <c r="E87" s="142" t="s">
        <v>3</v>
      </c>
      <c r="F87" s="143"/>
      <c r="G87" s="142" t="s">
        <v>4</v>
      </c>
      <c r="H87" s="143"/>
      <c r="I87" s="142" t="s">
        <v>5</v>
      </c>
      <c r="J87" s="143"/>
      <c r="K87" s="142" t="s">
        <v>6</v>
      </c>
      <c r="L87" s="143"/>
      <c r="M87" s="142" t="s">
        <v>8</v>
      </c>
      <c r="N87" s="143"/>
      <c r="O87" s="142" t="s">
        <v>9</v>
      </c>
      <c r="P87" s="143"/>
      <c r="Q87" s="142" t="s">
        <v>10</v>
      </c>
      <c r="R87" s="143"/>
      <c r="S87" s="142" t="s">
        <v>11</v>
      </c>
      <c r="T87" s="143"/>
      <c r="U87" s="142" t="s">
        <v>12</v>
      </c>
      <c r="V87" s="143"/>
      <c r="W87" s="9" t="s">
        <v>13</v>
      </c>
      <c r="X87" s="119"/>
      <c r="Y87" s="49" t="s">
        <v>14</v>
      </c>
      <c r="Z87" s="49" t="s">
        <v>15</v>
      </c>
      <c r="AA87" s="79" t="s">
        <v>107</v>
      </c>
      <c r="AB87" s="148"/>
      <c r="AC87" s="149"/>
      <c r="AD87" s="6" t="s">
        <v>17</v>
      </c>
      <c r="AE87" s="7"/>
      <c r="AK87" s="194">
        <f>SUM(AD88:AD137)</f>
        <v>0</v>
      </c>
      <c r="AL87" s="195"/>
    </row>
    <row r="88" spans="1:38" ht="123.75" customHeight="1" x14ac:dyDescent="2.1">
      <c r="B88" s="15" t="s">
        <v>108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13">
        <v>0</v>
      </c>
      <c r="Y88" s="14">
        <f>SUM(C88,E88,G88,I88,K88,,M88,O88,Q88,S88,U88,W88)</f>
        <v>0</v>
      </c>
      <c r="Z88" s="14">
        <f>SUM(D88,F88,H88,J88,L88,,N88,P88,R88,T88,V88)</f>
        <v>0</v>
      </c>
      <c r="AA88" s="15" t="s">
        <v>108</v>
      </c>
      <c r="AB88" s="152"/>
      <c r="AC88" s="153"/>
      <c r="AD88" s="16">
        <f>X88</f>
        <v>0</v>
      </c>
      <c r="AE88" s="7"/>
      <c r="AK88" s="196"/>
      <c r="AL88" s="195"/>
    </row>
    <row r="89" spans="1:38" s="64" customFormat="1" ht="38.25" customHeight="1" x14ac:dyDescent="2.1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120">
        <v>0</v>
      </c>
      <c r="Y89" s="80"/>
      <c r="Z89" s="80"/>
      <c r="AA89" s="65"/>
      <c r="AB89" s="81"/>
      <c r="AC89" s="82"/>
      <c r="AD89" s="16">
        <f t="shared" ref="AD89:AD102" si="27">X89</f>
        <v>0</v>
      </c>
      <c r="AE89" s="17"/>
      <c r="AF89" s="2"/>
      <c r="AG89" s="2"/>
      <c r="AH89" s="2"/>
      <c r="AI89" s="2"/>
      <c r="AJ89" s="2"/>
      <c r="AK89" s="196"/>
      <c r="AL89" s="195"/>
    </row>
    <row r="90" spans="1:38" s="12" customFormat="1" ht="113.25" customHeight="1" x14ac:dyDescent="2.1">
      <c r="B90" s="13" t="s">
        <v>109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13">
        <v>0</v>
      </c>
      <c r="Y90" s="14">
        <f t="shared" ref="Y90:Y102" si="28">SUM(C90,E90,G90,I90,K90,,M90,O90,Q90,S90,U90,W90)</f>
        <v>0</v>
      </c>
      <c r="Z90" s="14">
        <f t="shared" ref="Z90:Z102" si="29">SUM(D90,F90,H90,J90,L90,,N90,P90,R90,T90,V90)</f>
        <v>0</v>
      </c>
      <c r="AA90" s="13" t="s">
        <v>109</v>
      </c>
      <c r="AB90" s="154"/>
      <c r="AC90" s="155"/>
      <c r="AD90" s="16">
        <f t="shared" si="27"/>
        <v>0</v>
      </c>
      <c r="AE90" s="17"/>
      <c r="AF90" s="2"/>
      <c r="AG90" s="2"/>
      <c r="AH90" s="2"/>
      <c r="AI90" s="2"/>
      <c r="AJ90" s="2"/>
      <c r="AK90" s="196"/>
      <c r="AL90" s="195"/>
    </row>
    <row r="91" spans="1:38" s="12" customFormat="1" ht="113.25" customHeight="1" x14ac:dyDescent="2.1">
      <c r="B91" s="13" t="s">
        <v>110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13">
        <v>0</v>
      </c>
      <c r="Y91" s="14">
        <f t="shared" si="28"/>
        <v>0</v>
      </c>
      <c r="Z91" s="14">
        <f t="shared" si="29"/>
        <v>0</v>
      </c>
      <c r="AA91" s="13" t="s">
        <v>110</v>
      </c>
      <c r="AB91" s="154"/>
      <c r="AC91" s="155"/>
      <c r="AD91" s="16">
        <f t="shared" si="27"/>
        <v>0</v>
      </c>
      <c r="AE91" s="17"/>
      <c r="AF91" s="2"/>
      <c r="AG91" s="2"/>
      <c r="AH91" s="2"/>
      <c r="AI91" s="2"/>
      <c r="AJ91" s="2"/>
      <c r="AK91" s="196"/>
      <c r="AL91" s="195"/>
    </row>
    <row r="92" spans="1:38" s="12" customFormat="1" ht="113.25" customHeight="1" thickBot="1" x14ac:dyDescent="2.15">
      <c r="B92" s="13" t="s">
        <v>111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13">
        <v>0</v>
      </c>
      <c r="Y92" s="14">
        <f t="shared" si="28"/>
        <v>0</v>
      </c>
      <c r="Z92" s="14">
        <f t="shared" si="29"/>
        <v>0</v>
      </c>
      <c r="AA92" s="13" t="s">
        <v>111</v>
      </c>
      <c r="AB92" s="154"/>
      <c r="AC92" s="155"/>
      <c r="AD92" s="16">
        <f t="shared" si="27"/>
        <v>0</v>
      </c>
      <c r="AE92" s="17"/>
      <c r="AF92" s="2"/>
      <c r="AG92" s="2"/>
      <c r="AH92" s="2"/>
      <c r="AI92" s="2"/>
      <c r="AJ92" s="2"/>
      <c r="AK92" s="196"/>
      <c r="AL92" s="195"/>
    </row>
    <row r="93" spans="1:38" s="12" customFormat="1" ht="146.25" x14ac:dyDescent="2.1">
      <c r="B93" s="13" t="s">
        <v>112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13">
        <v>0</v>
      </c>
      <c r="Y93" s="14">
        <f t="shared" si="28"/>
        <v>0</v>
      </c>
      <c r="Z93" s="14">
        <f t="shared" si="29"/>
        <v>0</v>
      </c>
      <c r="AA93" s="13" t="s">
        <v>112</v>
      </c>
      <c r="AB93" s="159">
        <f>SUM(Y93:Y102)</f>
        <v>0</v>
      </c>
      <c r="AC93" s="160"/>
      <c r="AD93" s="16">
        <f t="shared" si="27"/>
        <v>0</v>
      </c>
      <c r="AE93" s="17"/>
      <c r="AF93" s="165" t="s">
        <v>113</v>
      </c>
      <c r="AG93" s="166"/>
      <c r="AH93" s="166"/>
      <c r="AI93" s="166"/>
      <c r="AJ93" s="167"/>
      <c r="AK93" s="196"/>
      <c r="AL93" s="195"/>
    </row>
    <row r="94" spans="1:38" s="47" customFormat="1" ht="116.25" customHeight="1" x14ac:dyDescent="2.1">
      <c r="A94" s="12"/>
      <c r="B94" s="13" t="s">
        <v>114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13">
        <v>0</v>
      </c>
      <c r="Y94" s="14">
        <f t="shared" si="28"/>
        <v>0</v>
      </c>
      <c r="Z94" s="14">
        <f t="shared" si="29"/>
        <v>0</v>
      </c>
      <c r="AA94" s="13" t="s">
        <v>114</v>
      </c>
      <c r="AB94" s="161"/>
      <c r="AC94" s="162"/>
      <c r="AD94" s="16">
        <f t="shared" si="27"/>
        <v>0</v>
      </c>
      <c r="AE94" s="17"/>
      <c r="AF94" s="168"/>
      <c r="AG94" s="169"/>
      <c r="AH94" s="169"/>
      <c r="AI94" s="169"/>
      <c r="AJ94" s="170"/>
      <c r="AK94" s="196"/>
      <c r="AL94" s="195"/>
    </row>
    <row r="95" spans="1:38" s="47" customFormat="1" ht="113.25" customHeight="1" x14ac:dyDescent="2.1">
      <c r="A95" s="12"/>
      <c r="B95" s="13" t="s">
        <v>115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13">
        <v>0</v>
      </c>
      <c r="Y95" s="14">
        <f t="shared" si="28"/>
        <v>0</v>
      </c>
      <c r="Z95" s="14">
        <f t="shared" si="29"/>
        <v>0</v>
      </c>
      <c r="AA95" s="13" t="s">
        <v>115</v>
      </c>
      <c r="AB95" s="161"/>
      <c r="AC95" s="162"/>
      <c r="AD95" s="16">
        <f t="shared" si="27"/>
        <v>0</v>
      </c>
      <c r="AE95" s="17"/>
      <c r="AF95" s="168"/>
      <c r="AG95" s="169"/>
      <c r="AH95" s="169"/>
      <c r="AI95" s="169"/>
      <c r="AJ95" s="170"/>
      <c r="AK95" s="196"/>
      <c r="AL95" s="195"/>
    </row>
    <row r="96" spans="1:38" s="47" customFormat="1" ht="113.25" customHeight="1" x14ac:dyDescent="2.1">
      <c r="A96" s="12"/>
      <c r="B96" s="13" t="s">
        <v>116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13">
        <v>0</v>
      </c>
      <c r="Y96" s="14">
        <f t="shared" si="28"/>
        <v>0</v>
      </c>
      <c r="Z96" s="14">
        <f t="shared" si="29"/>
        <v>0</v>
      </c>
      <c r="AA96" s="13" t="s">
        <v>116</v>
      </c>
      <c r="AB96" s="161"/>
      <c r="AC96" s="162"/>
      <c r="AD96" s="16">
        <f t="shared" si="27"/>
        <v>0</v>
      </c>
      <c r="AE96" s="17"/>
      <c r="AF96" s="168"/>
      <c r="AG96" s="169"/>
      <c r="AH96" s="169"/>
      <c r="AI96" s="169"/>
      <c r="AJ96" s="170"/>
      <c r="AK96" s="196"/>
      <c r="AL96" s="195"/>
    </row>
    <row r="97" spans="1:38" s="47" customFormat="1" ht="113.25" customHeight="1" x14ac:dyDescent="2.1">
      <c r="A97" s="12"/>
      <c r="B97" s="13" t="s">
        <v>117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13">
        <v>0</v>
      </c>
      <c r="Y97" s="14">
        <f t="shared" si="28"/>
        <v>0</v>
      </c>
      <c r="Z97" s="14">
        <f t="shared" si="29"/>
        <v>0</v>
      </c>
      <c r="AA97" s="13" t="s">
        <v>117</v>
      </c>
      <c r="AB97" s="161"/>
      <c r="AC97" s="162"/>
      <c r="AD97" s="16">
        <f t="shared" si="27"/>
        <v>0</v>
      </c>
      <c r="AE97" s="17"/>
      <c r="AF97" s="168"/>
      <c r="AG97" s="169"/>
      <c r="AH97" s="169"/>
      <c r="AI97" s="169"/>
      <c r="AJ97" s="170"/>
      <c r="AK97" s="196"/>
      <c r="AL97" s="195"/>
    </row>
    <row r="98" spans="1:38" s="47" customFormat="1" ht="113.25" customHeight="1" x14ac:dyDescent="2.1">
      <c r="A98" s="12"/>
      <c r="B98" s="13" t="s">
        <v>118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13">
        <v>0</v>
      </c>
      <c r="Y98" s="14">
        <f t="shared" si="28"/>
        <v>0</v>
      </c>
      <c r="Z98" s="14">
        <f t="shared" si="29"/>
        <v>0</v>
      </c>
      <c r="AA98" s="13" t="s">
        <v>118</v>
      </c>
      <c r="AB98" s="161"/>
      <c r="AC98" s="162"/>
      <c r="AD98" s="16">
        <f t="shared" si="27"/>
        <v>0</v>
      </c>
      <c r="AE98" s="17"/>
      <c r="AF98" s="197">
        <f>SUM(AD93:AD102)</f>
        <v>0</v>
      </c>
      <c r="AG98" s="198"/>
      <c r="AH98" s="198"/>
      <c r="AI98" s="198"/>
      <c r="AJ98" s="199"/>
      <c r="AK98" s="196"/>
      <c r="AL98" s="195"/>
    </row>
    <row r="99" spans="1:38" s="47" customFormat="1" ht="113.25" customHeight="1" x14ac:dyDescent="2.1">
      <c r="A99" s="12"/>
      <c r="B99" s="13" t="s">
        <v>119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13">
        <v>0</v>
      </c>
      <c r="Y99" s="14">
        <f t="shared" si="28"/>
        <v>0</v>
      </c>
      <c r="Z99" s="14">
        <f t="shared" si="29"/>
        <v>0</v>
      </c>
      <c r="AA99" s="13" t="s">
        <v>119</v>
      </c>
      <c r="AB99" s="161"/>
      <c r="AC99" s="162"/>
      <c r="AD99" s="16">
        <f t="shared" si="27"/>
        <v>0</v>
      </c>
      <c r="AE99" s="17"/>
      <c r="AF99" s="39"/>
      <c r="AG99" s="24"/>
      <c r="AH99" s="24"/>
      <c r="AI99" s="24"/>
      <c r="AJ99" s="25"/>
      <c r="AK99" s="196"/>
      <c r="AL99" s="195"/>
    </row>
    <row r="100" spans="1:38" s="47" customFormat="1" ht="113.25" customHeight="1" x14ac:dyDescent="2.1">
      <c r="A100" s="12"/>
      <c r="B100" s="13" t="s">
        <v>120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13">
        <v>0</v>
      </c>
      <c r="Y100" s="14">
        <f t="shared" si="28"/>
        <v>0</v>
      </c>
      <c r="Z100" s="14">
        <f t="shared" si="29"/>
        <v>0</v>
      </c>
      <c r="AA100" s="13" t="s">
        <v>120</v>
      </c>
      <c r="AB100" s="161"/>
      <c r="AC100" s="162"/>
      <c r="AD100" s="16">
        <f t="shared" si="27"/>
        <v>0</v>
      </c>
      <c r="AE100" s="17"/>
      <c r="AF100" s="171"/>
      <c r="AG100" s="169"/>
      <c r="AH100" s="169"/>
      <c r="AI100" s="169"/>
      <c r="AJ100" s="170"/>
      <c r="AK100" s="196"/>
      <c r="AL100" s="195"/>
    </row>
    <row r="101" spans="1:38" s="47" customFormat="1" ht="113.25" customHeight="1" x14ac:dyDescent="2.1">
      <c r="A101" s="12"/>
      <c r="B101" s="13" t="s">
        <v>121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13">
        <v>0</v>
      </c>
      <c r="Y101" s="14">
        <f t="shared" si="28"/>
        <v>0</v>
      </c>
      <c r="Z101" s="14">
        <f t="shared" si="29"/>
        <v>0</v>
      </c>
      <c r="AA101" s="13" t="s">
        <v>121</v>
      </c>
      <c r="AB101" s="161"/>
      <c r="AC101" s="162"/>
      <c r="AD101" s="16">
        <f t="shared" si="27"/>
        <v>0</v>
      </c>
      <c r="AE101" s="17"/>
      <c r="AF101" s="26"/>
      <c r="AG101" s="27"/>
      <c r="AH101" s="27"/>
      <c r="AI101" s="27"/>
      <c r="AJ101" s="28"/>
      <c r="AK101" s="196"/>
      <c r="AL101" s="195"/>
    </row>
    <row r="102" spans="1:38" s="47" customFormat="1" ht="113.25" customHeight="1" thickBot="1" x14ac:dyDescent="2.15">
      <c r="A102" s="12"/>
      <c r="B102" s="13" t="s">
        <v>122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13">
        <v>0</v>
      </c>
      <c r="Y102" s="14">
        <f t="shared" si="28"/>
        <v>0</v>
      </c>
      <c r="Z102" s="14">
        <f t="shared" si="29"/>
        <v>0</v>
      </c>
      <c r="AA102" s="13" t="s">
        <v>122</v>
      </c>
      <c r="AB102" s="163"/>
      <c r="AC102" s="164"/>
      <c r="AD102" s="16">
        <f t="shared" si="27"/>
        <v>0</v>
      </c>
      <c r="AE102" s="17"/>
      <c r="AF102" s="83"/>
      <c r="AG102" s="84"/>
      <c r="AH102" s="84"/>
      <c r="AI102" s="84"/>
      <c r="AJ102" s="85"/>
      <c r="AK102" s="196"/>
      <c r="AL102" s="195"/>
    </row>
    <row r="103" spans="1:38" s="47" customFormat="1" ht="111" customHeight="1" x14ac:dyDescent="2.1">
      <c r="A103" s="12"/>
      <c r="B103" s="13"/>
      <c r="C103" s="30">
        <f>SUM(C93:C102)</f>
        <v>0</v>
      </c>
      <c r="D103" s="30">
        <f t="shared" ref="D103:W103" si="30">SUM(D93:D102)</f>
        <v>0</v>
      </c>
      <c r="E103" s="30">
        <f t="shared" si="30"/>
        <v>0</v>
      </c>
      <c r="F103" s="30">
        <f t="shared" si="30"/>
        <v>0</v>
      </c>
      <c r="G103" s="30">
        <f t="shared" si="30"/>
        <v>0</v>
      </c>
      <c r="H103" s="30">
        <f t="shared" si="30"/>
        <v>0</v>
      </c>
      <c r="I103" s="30">
        <f t="shared" si="30"/>
        <v>0</v>
      </c>
      <c r="J103" s="30">
        <f t="shared" si="30"/>
        <v>0</v>
      </c>
      <c r="K103" s="30">
        <f t="shared" si="30"/>
        <v>0</v>
      </c>
      <c r="L103" s="30">
        <f t="shared" si="30"/>
        <v>0</v>
      </c>
      <c r="M103" s="30">
        <f t="shared" si="30"/>
        <v>0</v>
      </c>
      <c r="N103" s="30">
        <f t="shared" si="30"/>
        <v>0</v>
      </c>
      <c r="O103" s="30">
        <f t="shared" si="30"/>
        <v>0</v>
      </c>
      <c r="P103" s="30">
        <f t="shared" si="30"/>
        <v>0</v>
      </c>
      <c r="Q103" s="30">
        <f t="shared" si="30"/>
        <v>0</v>
      </c>
      <c r="R103" s="30">
        <f t="shared" si="30"/>
        <v>0</v>
      </c>
      <c r="S103" s="30">
        <f t="shared" si="30"/>
        <v>0</v>
      </c>
      <c r="T103" s="30">
        <f t="shared" si="30"/>
        <v>0</v>
      </c>
      <c r="U103" s="30">
        <f t="shared" si="30"/>
        <v>0</v>
      </c>
      <c r="V103" s="30">
        <f t="shared" si="30"/>
        <v>0</v>
      </c>
      <c r="W103" s="30">
        <f t="shared" si="30"/>
        <v>0</v>
      </c>
      <c r="X103" s="114"/>
      <c r="Y103" s="14"/>
      <c r="Z103" s="14"/>
      <c r="AA103" s="13"/>
      <c r="AB103" s="200"/>
      <c r="AC103" s="201"/>
      <c r="AD103" s="33"/>
      <c r="AE103" s="17"/>
      <c r="AF103" s="188"/>
      <c r="AG103" s="189"/>
      <c r="AH103" s="189"/>
      <c r="AI103" s="189"/>
      <c r="AJ103" s="190"/>
      <c r="AK103" s="196"/>
      <c r="AL103" s="195"/>
    </row>
    <row r="104" spans="1:38" ht="126" customHeight="1" x14ac:dyDescent="0.25">
      <c r="B104" s="174" t="s">
        <v>0</v>
      </c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"/>
      <c r="AF104" s="191"/>
      <c r="AG104" s="192"/>
      <c r="AH104" s="192"/>
      <c r="AI104" s="192"/>
      <c r="AJ104" s="193"/>
      <c r="AK104" s="196"/>
      <c r="AL104" s="195"/>
    </row>
    <row r="105" spans="1:38" ht="123.75" customHeight="1" x14ac:dyDescent="2.1">
      <c r="B105" s="172" t="s">
        <v>123</v>
      </c>
      <c r="C105" s="142" t="s">
        <v>2</v>
      </c>
      <c r="D105" s="143"/>
      <c r="E105" s="142" t="s">
        <v>3</v>
      </c>
      <c r="F105" s="143"/>
      <c r="G105" s="142" t="s">
        <v>4</v>
      </c>
      <c r="H105" s="143"/>
      <c r="I105" s="142" t="s">
        <v>5</v>
      </c>
      <c r="J105" s="143"/>
      <c r="K105" s="142" t="s">
        <v>6</v>
      </c>
      <c r="L105" s="143"/>
      <c r="M105" s="142" t="s">
        <v>8</v>
      </c>
      <c r="N105" s="143"/>
      <c r="O105" s="142" t="s">
        <v>9</v>
      </c>
      <c r="P105" s="143"/>
      <c r="Q105" s="142" t="s">
        <v>10</v>
      </c>
      <c r="R105" s="143"/>
      <c r="S105" s="142" t="s">
        <v>11</v>
      </c>
      <c r="T105" s="143"/>
      <c r="U105" s="142" t="s">
        <v>12</v>
      </c>
      <c r="V105" s="143"/>
      <c r="W105" s="172" t="s">
        <v>13</v>
      </c>
      <c r="X105" s="111"/>
      <c r="Y105" s="172" t="s">
        <v>14</v>
      </c>
      <c r="Z105" s="172" t="s">
        <v>15</v>
      </c>
      <c r="AA105" s="172" t="s">
        <v>123</v>
      </c>
      <c r="AB105" s="148"/>
      <c r="AC105" s="149"/>
      <c r="AD105" s="6" t="s">
        <v>17</v>
      </c>
      <c r="AE105" s="7"/>
      <c r="AF105" s="191"/>
      <c r="AG105" s="192"/>
      <c r="AH105" s="192"/>
      <c r="AI105" s="192"/>
      <c r="AJ105" s="193"/>
      <c r="AK105" s="196"/>
      <c r="AL105" s="195"/>
    </row>
    <row r="106" spans="1:38" s="4" customFormat="1" ht="138" customHeight="1" x14ac:dyDescent="2.1">
      <c r="B106" s="173"/>
      <c r="C106" s="9" t="s">
        <v>18</v>
      </c>
      <c r="D106" s="9" t="s">
        <v>19</v>
      </c>
      <c r="E106" s="9" t="s">
        <v>18</v>
      </c>
      <c r="F106" s="9" t="s">
        <v>19</v>
      </c>
      <c r="G106" s="9" t="s">
        <v>18</v>
      </c>
      <c r="H106" s="9" t="s">
        <v>19</v>
      </c>
      <c r="I106" s="9" t="s">
        <v>18</v>
      </c>
      <c r="J106" s="9" t="s">
        <v>19</v>
      </c>
      <c r="K106" s="9" t="s">
        <v>18</v>
      </c>
      <c r="L106" s="9" t="s">
        <v>19</v>
      </c>
      <c r="M106" s="9" t="s">
        <v>18</v>
      </c>
      <c r="N106" s="9" t="s">
        <v>19</v>
      </c>
      <c r="O106" s="9" t="s">
        <v>18</v>
      </c>
      <c r="P106" s="9" t="s">
        <v>19</v>
      </c>
      <c r="Q106" s="9" t="s">
        <v>18</v>
      </c>
      <c r="R106" s="9" t="s">
        <v>19</v>
      </c>
      <c r="S106" s="9" t="s">
        <v>18</v>
      </c>
      <c r="T106" s="9" t="s">
        <v>19</v>
      </c>
      <c r="U106" s="9" t="s">
        <v>18</v>
      </c>
      <c r="V106" s="9" t="s">
        <v>19</v>
      </c>
      <c r="W106" s="173"/>
      <c r="X106" s="112"/>
      <c r="Y106" s="173"/>
      <c r="Z106" s="173"/>
      <c r="AA106" s="173"/>
      <c r="AB106" s="10"/>
      <c r="AC106" s="11"/>
      <c r="AD106" s="6"/>
      <c r="AE106" s="7"/>
      <c r="AF106" s="191"/>
      <c r="AG106" s="192"/>
      <c r="AH106" s="192"/>
      <c r="AI106" s="192"/>
      <c r="AJ106" s="193"/>
      <c r="AK106" s="196"/>
      <c r="AL106" s="195"/>
    </row>
    <row r="107" spans="1:38" s="47" customFormat="1" ht="111" customHeight="1" x14ac:dyDescent="2.1">
      <c r="A107" s="12"/>
      <c r="B107" s="13" t="s">
        <v>124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13">
        <v>0</v>
      </c>
      <c r="Y107" s="14">
        <f>SUM(C107,E107,G107,I107,K107,,M107,O107,Q107,S107,U107,W107)</f>
        <v>0</v>
      </c>
      <c r="Z107" s="14">
        <f>SUM(D107,F107,H107,J107,L107,,N107,P107,R107,T107,V107)</f>
        <v>0</v>
      </c>
      <c r="AA107" s="13" t="s">
        <v>124</v>
      </c>
      <c r="AB107" s="159">
        <f>SUM(Y107:Y110)</f>
        <v>0</v>
      </c>
      <c r="AC107" s="160"/>
      <c r="AD107" s="16">
        <f>X107</f>
        <v>0</v>
      </c>
      <c r="AE107" s="17"/>
      <c r="AF107" s="191"/>
      <c r="AG107" s="192"/>
      <c r="AH107" s="192"/>
      <c r="AI107" s="192"/>
      <c r="AJ107" s="193"/>
      <c r="AK107" s="196"/>
      <c r="AL107" s="195"/>
    </row>
    <row r="108" spans="1:38" s="47" customFormat="1" ht="111" customHeight="1" x14ac:dyDescent="2.1">
      <c r="A108" s="12"/>
      <c r="B108" s="13" t="s">
        <v>125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13">
        <v>0</v>
      </c>
      <c r="Y108" s="14">
        <f>SUM(C108,E108,G108,I108,K108,,M108,O108,Q108,S108,U108,W108)</f>
        <v>0</v>
      </c>
      <c r="Z108" s="14">
        <f>SUM(D108,F108,H108,J108,L108,,N108,P108,R108,T108,V108)</f>
        <v>0</v>
      </c>
      <c r="AA108" s="13" t="s">
        <v>125</v>
      </c>
      <c r="AB108" s="161"/>
      <c r="AC108" s="162"/>
      <c r="AD108" s="16">
        <f t="shared" ref="AD108:AD136" si="31">X108</f>
        <v>0</v>
      </c>
      <c r="AE108" s="17"/>
      <c r="AF108" s="39"/>
      <c r="AG108" s="24"/>
      <c r="AH108" s="24"/>
      <c r="AI108" s="24"/>
      <c r="AJ108" s="25"/>
      <c r="AK108" s="196"/>
      <c r="AL108" s="195"/>
    </row>
    <row r="109" spans="1:38" s="47" customFormat="1" ht="111" customHeight="1" x14ac:dyDescent="2.1">
      <c r="A109" s="12"/>
      <c r="B109" s="13" t="s">
        <v>126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13">
        <v>0</v>
      </c>
      <c r="Y109" s="14">
        <f>SUM(C109,E109,G109,I109,K109,,M109,O109,Q109,S109,U109,W109)</f>
        <v>0</v>
      </c>
      <c r="Z109" s="14">
        <f>SUM(D109,F109,H109,J109,L109,,N109,P109,R109,T109,V109)</f>
        <v>0</v>
      </c>
      <c r="AA109" s="13" t="s">
        <v>126</v>
      </c>
      <c r="AB109" s="161"/>
      <c r="AC109" s="162"/>
      <c r="AD109" s="16">
        <f t="shared" si="31"/>
        <v>0</v>
      </c>
      <c r="AE109" s="17"/>
      <c r="AF109" s="39"/>
      <c r="AG109" s="24"/>
      <c r="AH109" s="24"/>
      <c r="AI109" s="24"/>
      <c r="AJ109" s="25"/>
      <c r="AK109" s="196"/>
      <c r="AL109" s="195"/>
    </row>
    <row r="110" spans="1:38" s="47" customFormat="1" ht="111" customHeight="1" x14ac:dyDescent="2.1">
      <c r="A110" s="12"/>
      <c r="B110" s="13" t="s">
        <v>127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13">
        <v>0</v>
      </c>
      <c r="Y110" s="14">
        <f>SUM(C110,E110,G110,I110,K110,,M110,O110,Q110,S110,U110,W110)</f>
        <v>0</v>
      </c>
      <c r="Z110" s="14">
        <f>SUM(D110,F110,H110,J110,L110,,N110,P110,R110,T110,V110)</f>
        <v>0</v>
      </c>
      <c r="AA110" s="13" t="s">
        <v>127</v>
      </c>
      <c r="AB110" s="161"/>
      <c r="AC110" s="162"/>
      <c r="AD110" s="16">
        <f t="shared" si="31"/>
        <v>0</v>
      </c>
      <c r="AE110" s="17"/>
      <c r="AF110" s="39"/>
      <c r="AG110" s="24"/>
      <c r="AH110" s="24"/>
      <c r="AI110" s="24"/>
      <c r="AJ110" s="25"/>
      <c r="AK110" s="196"/>
      <c r="AL110" s="195"/>
    </row>
    <row r="111" spans="1:38" s="47" customFormat="1" ht="111" customHeight="1" thickBot="1" x14ac:dyDescent="2.15">
      <c r="A111" s="12"/>
      <c r="B111" s="13"/>
      <c r="C111" s="30">
        <f>SUM(C107:C110)</f>
        <v>0</v>
      </c>
      <c r="D111" s="30">
        <f t="shared" ref="D111:W111" si="32">SUM(D107:D110)</f>
        <v>0</v>
      </c>
      <c r="E111" s="30">
        <f t="shared" si="32"/>
        <v>0</v>
      </c>
      <c r="F111" s="30">
        <f t="shared" si="32"/>
        <v>0</v>
      </c>
      <c r="G111" s="30">
        <f t="shared" si="32"/>
        <v>0</v>
      </c>
      <c r="H111" s="30">
        <f t="shared" si="32"/>
        <v>0</v>
      </c>
      <c r="I111" s="30">
        <f t="shared" si="32"/>
        <v>0</v>
      </c>
      <c r="J111" s="30">
        <f t="shared" si="32"/>
        <v>0</v>
      </c>
      <c r="K111" s="30">
        <f t="shared" si="32"/>
        <v>0</v>
      </c>
      <c r="L111" s="30">
        <f t="shared" si="32"/>
        <v>0</v>
      </c>
      <c r="M111" s="30">
        <f t="shared" si="32"/>
        <v>0</v>
      </c>
      <c r="N111" s="30">
        <f t="shared" si="32"/>
        <v>0</v>
      </c>
      <c r="O111" s="30">
        <f t="shared" si="32"/>
        <v>0</v>
      </c>
      <c r="P111" s="30">
        <f t="shared" si="32"/>
        <v>0</v>
      </c>
      <c r="Q111" s="30">
        <f t="shared" si="32"/>
        <v>0</v>
      </c>
      <c r="R111" s="30">
        <f t="shared" si="32"/>
        <v>0</v>
      </c>
      <c r="S111" s="30">
        <f t="shared" si="32"/>
        <v>0</v>
      </c>
      <c r="T111" s="30">
        <f t="shared" si="32"/>
        <v>0</v>
      </c>
      <c r="U111" s="30">
        <f t="shared" si="32"/>
        <v>0</v>
      </c>
      <c r="V111" s="30">
        <f t="shared" si="32"/>
        <v>0</v>
      </c>
      <c r="W111" s="30">
        <f t="shared" si="32"/>
        <v>0</v>
      </c>
      <c r="X111" s="114"/>
      <c r="Y111" s="14"/>
      <c r="Z111" s="14"/>
      <c r="AA111" s="13"/>
      <c r="AB111" s="163"/>
      <c r="AC111" s="164"/>
      <c r="AD111" s="16">
        <f t="shared" si="31"/>
        <v>0</v>
      </c>
      <c r="AE111" s="17"/>
      <c r="AF111" s="185"/>
      <c r="AG111" s="186"/>
      <c r="AH111" s="186"/>
      <c r="AI111" s="186"/>
      <c r="AJ111" s="187"/>
      <c r="AK111" s="196"/>
      <c r="AL111" s="195"/>
    </row>
    <row r="112" spans="1:38" s="12" customFormat="1" ht="113.25" customHeight="1" x14ac:dyDescent="2.1">
      <c r="B112" s="13" t="s">
        <v>128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13">
        <v>0</v>
      </c>
      <c r="Y112" s="14">
        <f t="shared" ref="Y112:Y124" si="33">SUM(C112,E112,G112,I112,K112,,M112,O112,Q112,S112,U112,W112)</f>
        <v>0</v>
      </c>
      <c r="Z112" s="14">
        <f t="shared" ref="Z112:Z124" si="34">SUM(D112,F112,H112,J112,L112,,N112,P112,R112,T112,V112)</f>
        <v>0</v>
      </c>
      <c r="AA112" s="13" t="s">
        <v>128</v>
      </c>
      <c r="AB112" s="159">
        <f>SUM(Y112:Y124)</f>
        <v>0</v>
      </c>
      <c r="AC112" s="160"/>
      <c r="AD112" s="16">
        <f t="shared" si="31"/>
        <v>0</v>
      </c>
      <c r="AE112" s="17"/>
      <c r="AF112" s="165" t="s">
        <v>129</v>
      </c>
      <c r="AG112" s="166"/>
      <c r="AH112" s="166"/>
      <c r="AI112" s="166"/>
      <c r="AJ112" s="167"/>
      <c r="AK112" s="196"/>
      <c r="AL112" s="195"/>
    </row>
    <row r="113" spans="1:38" s="12" customFormat="1" ht="113.25" customHeight="1" x14ac:dyDescent="2.1">
      <c r="B113" s="13" t="s">
        <v>130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13">
        <v>0</v>
      </c>
      <c r="Y113" s="14">
        <f t="shared" si="33"/>
        <v>0</v>
      </c>
      <c r="Z113" s="14">
        <f t="shared" si="34"/>
        <v>0</v>
      </c>
      <c r="AA113" s="13" t="s">
        <v>130</v>
      </c>
      <c r="AB113" s="161"/>
      <c r="AC113" s="162"/>
      <c r="AD113" s="16">
        <f t="shared" si="31"/>
        <v>0</v>
      </c>
      <c r="AE113" s="17"/>
      <c r="AF113" s="168"/>
      <c r="AG113" s="169"/>
      <c r="AH113" s="169"/>
      <c r="AI113" s="169"/>
      <c r="AJ113" s="170"/>
      <c r="AK113" s="180" t="s">
        <v>131</v>
      </c>
      <c r="AL113" s="181"/>
    </row>
    <row r="114" spans="1:38" s="12" customFormat="1" ht="113.25" customHeight="1" x14ac:dyDescent="2.1">
      <c r="B114" s="13" t="s">
        <v>132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13">
        <v>0</v>
      </c>
      <c r="Y114" s="14">
        <f t="shared" si="33"/>
        <v>0</v>
      </c>
      <c r="Z114" s="14">
        <f t="shared" si="34"/>
        <v>0</v>
      </c>
      <c r="AA114" s="13" t="s">
        <v>132</v>
      </c>
      <c r="AB114" s="161"/>
      <c r="AC114" s="162"/>
      <c r="AD114" s="16">
        <f t="shared" si="31"/>
        <v>0</v>
      </c>
      <c r="AE114" s="17"/>
      <c r="AF114" s="168"/>
      <c r="AG114" s="169"/>
      <c r="AH114" s="169"/>
      <c r="AI114" s="169"/>
      <c r="AJ114" s="170"/>
      <c r="AK114" s="180"/>
      <c r="AL114" s="181"/>
    </row>
    <row r="115" spans="1:38" s="12" customFormat="1" ht="113.25" customHeight="1" x14ac:dyDescent="2.1">
      <c r="B115" s="13" t="s">
        <v>133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13">
        <v>0</v>
      </c>
      <c r="Y115" s="14">
        <f t="shared" si="33"/>
        <v>0</v>
      </c>
      <c r="Z115" s="14">
        <f t="shared" si="34"/>
        <v>0</v>
      </c>
      <c r="AA115" s="13" t="s">
        <v>133</v>
      </c>
      <c r="AB115" s="161"/>
      <c r="AC115" s="162"/>
      <c r="AD115" s="16">
        <f t="shared" si="31"/>
        <v>0</v>
      </c>
      <c r="AE115" s="17"/>
      <c r="AF115" s="168"/>
      <c r="AG115" s="169"/>
      <c r="AH115" s="169"/>
      <c r="AI115" s="169"/>
      <c r="AJ115" s="170"/>
      <c r="AK115" s="180"/>
      <c r="AL115" s="181"/>
    </row>
    <row r="116" spans="1:38" s="12" customFormat="1" ht="113.25" customHeight="1" x14ac:dyDescent="2.1">
      <c r="B116" s="13" t="s">
        <v>134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13">
        <v>0</v>
      </c>
      <c r="Y116" s="14">
        <f t="shared" si="33"/>
        <v>0</v>
      </c>
      <c r="Z116" s="14">
        <f t="shared" si="34"/>
        <v>0</v>
      </c>
      <c r="AA116" s="13" t="s">
        <v>134</v>
      </c>
      <c r="AB116" s="161"/>
      <c r="AC116" s="162"/>
      <c r="AD116" s="16">
        <f t="shared" si="31"/>
        <v>0</v>
      </c>
      <c r="AE116" s="17"/>
      <c r="AF116" s="168"/>
      <c r="AG116" s="169"/>
      <c r="AH116" s="169"/>
      <c r="AI116" s="169"/>
      <c r="AJ116" s="170"/>
      <c r="AK116" s="180"/>
      <c r="AL116" s="181"/>
    </row>
    <row r="117" spans="1:38" s="12" customFormat="1" ht="113.25" customHeight="1" x14ac:dyDescent="2.1">
      <c r="B117" s="13" t="s">
        <v>135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13">
        <v>0</v>
      </c>
      <c r="Y117" s="14">
        <f t="shared" si="33"/>
        <v>0</v>
      </c>
      <c r="Z117" s="14">
        <f t="shared" si="34"/>
        <v>0</v>
      </c>
      <c r="AA117" s="13" t="s">
        <v>135</v>
      </c>
      <c r="AB117" s="161"/>
      <c r="AC117" s="162"/>
      <c r="AD117" s="16">
        <f t="shared" si="31"/>
        <v>0</v>
      </c>
      <c r="AE117" s="17"/>
      <c r="AF117" s="168"/>
      <c r="AG117" s="169"/>
      <c r="AH117" s="169"/>
      <c r="AI117" s="169"/>
      <c r="AJ117" s="170"/>
      <c r="AK117" s="180"/>
      <c r="AL117" s="181"/>
    </row>
    <row r="118" spans="1:38" s="47" customFormat="1" ht="113.25" customHeight="1" x14ac:dyDescent="2.1">
      <c r="A118" s="12"/>
      <c r="B118" s="13" t="s">
        <v>136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13">
        <v>0</v>
      </c>
      <c r="Y118" s="14">
        <f t="shared" si="33"/>
        <v>0</v>
      </c>
      <c r="Z118" s="14">
        <f t="shared" si="34"/>
        <v>0</v>
      </c>
      <c r="AA118" s="13" t="s">
        <v>136</v>
      </c>
      <c r="AB118" s="161"/>
      <c r="AC118" s="162"/>
      <c r="AD118" s="16">
        <f t="shared" si="31"/>
        <v>0</v>
      </c>
      <c r="AE118" s="17"/>
      <c r="AF118" s="171">
        <f>SUM(AD112:AD124)</f>
        <v>0</v>
      </c>
      <c r="AG118" s="169"/>
      <c r="AH118" s="169"/>
      <c r="AI118" s="169"/>
      <c r="AJ118" s="170"/>
      <c r="AK118" s="180"/>
      <c r="AL118" s="181"/>
    </row>
    <row r="119" spans="1:38" s="47" customFormat="1" ht="120.75" customHeight="1" x14ac:dyDescent="2.1">
      <c r="A119" s="12"/>
      <c r="B119" s="13" t="s">
        <v>137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13">
        <v>0</v>
      </c>
      <c r="Y119" s="14">
        <f t="shared" si="33"/>
        <v>0</v>
      </c>
      <c r="Z119" s="14">
        <f t="shared" si="34"/>
        <v>0</v>
      </c>
      <c r="AA119" s="13" t="s">
        <v>137</v>
      </c>
      <c r="AB119" s="161"/>
      <c r="AC119" s="162"/>
      <c r="AD119" s="16">
        <f t="shared" si="31"/>
        <v>0</v>
      </c>
      <c r="AE119" s="17"/>
      <c r="AF119" s="171"/>
      <c r="AG119" s="169"/>
      <c r="AH119" s="169"/>
      <c r="AI119" s="169"/>
      <c r="AJ119" s="170"/>
      <c r="AK119" s="180"/>
      <c r="AL119" s="181"/>
    </row>
    <row r="120" spans="1:38" s="12" customFormat="1" ht="113.25" customHeight="1" x14ac:dyDescent="2.1">
      <c r="B120" s="13" t="s">
        <v>138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13">
        <v>0</v>
      </c>
      <c r="Y120" s="14">
        <f t="shared" si="33"/>
        <v>0</v>
      </c>
      <c r="Z120" s="14">
        <f t="shared" si="34"/>
        <v>0</v>
      </c>
      <c r="AA120" s="13" t="s">
        <v>138</v>
      </c>
      <c r="AB120" s="161"/>
      <c r="AC120" s="162"/>
      <c r="AD120" s="16">
        <f t="shared" si="31"/>
        <v>0</v>
      </c>
      <c r="AE120" s="17"/>
      <c r="AF120" s="26"/>
      <c r="AG120" s="27"/>
      <c r="AH120" s="27"/>
      <c r="AI120" s="27"/>
      <c r="AJ120" s="28"/>
      <c r="AK120" s="180"/>
      <c r="AL120" s="181"/>
    </row>
    <row r="121" spans="1:38" s="12" customFormat="1" ht="113.25" customHeight="1" x14ac:dyDescent="2.1">
      <c r="B121" s="13" t="s">
        <v>139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13">
        <v>0</v>
      </c>
      <c r="Y121" s="14">
        <f t="shared" si="33"/>
        <v>0</v>
      </c>
      <c r="Z121" s="14">
        <f t="shared" si="34"/>
        <v>0</v>
      </c>
      <c r="AA121" s="13" t="s">
        <v>139</v>
      </c>
      <c r="AB121" s="161"/>
      <c r="AC121" s="162"/>
      <c r="AD121" s="16">
        <f t="shared" si="31"/>
        <v>0</v>
      </c>
      <c r="AE121" s="17"/>
      <c r="AF121" s="26"/>
      <c r="AG121" s="27"/>
      <c r="AH121" s="27"/>
      <c r="AI121" s="27"/>
      <c r="AJ121" s="28"/>
      <c r="AK121" s="180"/>
      <c r="AL121" s="181"/>
    </row>
    <row r="122" spans="1:38" s="12" customFormat="1" ht="113.25" customHeight="1" x14ac:dyDescent="2.1">
      <c r="B122" s="13" t="s">
        <v>140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13">
        <v>0</v>
      </c>
      <c r="Y122" s="14">
        <f t="shared" si="33"/>
        <v>0</v>
      </c>
      <c r="Z122" s="14">
        <f t="shared" si="34"/>
        <v>0</v>
      </c>
      <c r="AA122" s="13" t="s">
        <v>140</v>
      </c>
      <c r="AB122" s="161"/>
      <c r="AC122" s="162"/>
      <c r="AD122" s="16">
        <f t="shared" si="31"/>
        <v>0</v>
      </c>
      <c r="AE122" s="17"/>
      <c r="AF122" s="26"/>
      <c r="AG122" s="27"/>
      <c r="AH122" s="27"/>
      <c r="AI122" s="27"/>
      <c r="AJ122" s="28"/>
      <c r="AK122" s="180"/>
      <c r="AL122" s="181"/>
    </row>
    <row r="123" spans="1:38" s="12" customFormat="1" ht="113.25" customHeight="1" thickBot="1" x14ac:dyDescent="2.15">
      <c r="B123" s="13" t="s">
        <v>141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13">
        <v>0</v>
      </c>
      <c r="Y123" s="14">
        <f t="shared" si="33"/>
        <v>0</v>
      </c>
      <c r="Z123" s="14">
        <f t="shared" si="34"/>
        <v>0</v>
      </c>
      <c r="AA123" s="13" t="s">
        <v>141</v>
      </c>
      <c r="AB123" s="161"/>
      <c r="AC123" s="162"/>
      <c r="AD123" s="16">
        <f t="shared" si="31"/>
        <v>0</v>
      </c>
      <c r="AE123" s="17"/>
      <c r="AF123" s="83"/>
      <c r="AG123" s="84"/>
      <c r="AH123" s="84"/>
      <c r="AI123" s="84"/>
      <c r="AJ123" s="85"/>
      <c r="AK123" s="180"/>
      <c r="AL123" s="181"/>
    </row>
    <row r="124" spans="1:38" s="12" customFormat="1" ht="113.25" customHeight="1" thickBot="1" x14ac:dyDescent="2.15">
      <c r="B124" s="13" t="s">
        <v>142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13">
        <v>0</v>
      </c>
      <c r="Y124" s="14">
        <f t="shared" si="33"/>
        <v>0</v>
      </c>
      <c r="Z124" s="14">
        <f t="shared" si="34"/>
        <v>0</v>
      </c>
      <c r="AA124" s="13" t="s">
        <v>142</v>
      </c>
      <c r="AB124" s="161"/>
      <c r="AC124" s="162"/>
      <c r="AD124" s="16">
        <f t="shared" si="31"/>
        <v>0</v>
      </c>
      <c r="AE124" s="17"/>
      <c r="AF124" s="83"/>
      <c r="AG124" s="84"/>
      <c r="AH124" s="84"/>
      <c r="AI124" s="84"/>
      <c r="AJ124" s="85"/>
      <c r="AK124" s="180"/>
      <c r="AL124" s="181"/>
    </row>
    <row r="125" spans="1:38" s="12" customFormat="1" ht="113.25" customHeight="1" thickBot="1" x14ac:dyDescent="2.15">
      <c r="B125" s="13"/>
      <c r="C125" s="30">
        <f>SUM(C112:C124)</f>
        <v>0</v>
      </c>
      <c r="D125" s="30">
        <f t="shared" ref="D125:W125" si="35">SUM(D112:D124)</f>
        <v>0</v>
      </c>
      <c r="E125" s="30">
        <f t="shared" si="35"/>
        <v>0</v>
      </c>
      <c r="F125" s="30">
        <f t="shared" si="35"/>
        <v>0</v>
      </c>
      <c r="G125" s="30">
        <f t="shared" si="35"/>
        <v>0</v>
      </c>
      <c r="H125" s="30">
        <f t="shared" si="35"/>
        <v>0</v>
      </c>
      <c r="I125" s="30">
        <f t="shared" si="35"/>
        <v>0</v>
      </c>
      <c r="J125" s="30">
        <f t="shared" si="35"/>
        <v>0</v>
      </c>
      <c r="K125" s="30">
        <f t="shared" si="35"/>
        <v>0</v>
      </c>
      <c r="L125" s="30">
        <f t="shared" si="35"/>
        <v>0</v>
      </c>
      <c r="M125" s="30">
        <f t="shared" si="35"/>
        <v>0</v>
      </c>
      <c r="N125" s="30">
        <f t="shared" si="35"/>
        <v>0</v>
      </c>
      <c r="O125" s="30">
        <f t="shared" si="35"/>
        <v>0</v>
      </c>
      <c r="P125" s="30">
        <f t="shared" si="35"/>
        <v>0</v>
      </c>
      <c r="Q125" s="30">
        <f t="shared" si="35"/>
        <v>0</v>
      </c>
      <c r="R125" s="30">
        <f t="shared" si="35"/>
        <v>0</v>
      </c>
      <c r="S125" s="30">
        <f t="shared" si="35"/>
        <v>0</v>
      </c>
      <c r="T125" s="30">
        <f t="shared" si="35"/>
        <v>0</v>
      </c>
      <c r="U125" s="30">
        <f t="shared" si="35"/>
        <v>0</v>
      </c>
      <c r="V125" s="30">
        <f t="shared" si="35"/>
        <v>0</v>
      </c>
      <c r="W125" s="30">
        <f t="shared" si="35"/>
        <v>0</v>
      </c>
      <c r="X125" s="114">
        <v>0</v>
      </c>
      <c r="Y125" s="14"/>
      <c r="Z125" s="14"/>
      <c r="AA125" s="13"/>
      <c r="AB125" s="163"/>
      <c r="AC125" s="164"/>
      <c r="AD125" s="16">
        <f t="shared" si="31"/>
        <v>0</v>
      </c>
      <c r="AE125" s="17"/>
      <c r="AF125" s="39"/>
      <c r="AG125" s="24"/>
      <c r="AH125" s="24"/>
      <c r="AI125" s="24"/>
      <c r="AJ125" s="25"/>
      <c r="AK125" s="180"/>
      <c r="AL125" s="181"/>
    </row>
    <row r="126" spans="1:38" s="12" customFormat="1" ht="113.25" customHeight="1" x14ac:dyDescent="2.1">
      <c r="B126" s="13" t="s">
        <v>143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13">
        <v>0</v>
      </c>
      <c r="Y126" s="14">
        <f t="shared" ref="Y126:Y135" si="36">SUM(C126,E126,G126,I126,K126,,M126,O126,Q126,S126,U126,W126)</f>
        <v>0</v>
      </c>
      <c r="Z126" s="14">
        <f t="shared" ref="Z126:Z135" si="37">SUM(D126,F126,H126,J126,L126,,N126,P126,R126,T126,V126)</f>
        <v>0</v>
      </c>
      <c r="AA126" s="13" t="s">
        <v>143</v>
      </c>
      <c r="AB126" s="159">
        <f>SUM(Y126:Y135)</f>
        <v>0</v>
      </c>
      <c r="AC126" s="160"/>
      <c r="AD126" s="16">
        <f t="shared" si="31"/>
        <v>0</v>
      </c>
      <c r="AE126" s="17"/>
      <c r="AF126" s="165" t="s">
        <v>144</v>
      </c>
      <c r="AG126" s="166"/>
      <c r="AH126" s="166"/>
      <c r="AI126" s="166"/>
      <c r="AJ126" s="167"/>
      <c r="AK126" s="180"/>
      <c r="AL126" s="181"/>
    </row>
    <row r="127" spans="1:38" s="12" customFormat="1" ht="113.25" customHeight="1" x14ac:dyDescent="2.1">
      <c r="B127" s="13" t="s">
        <v>145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13">
        <v>0</v>
      </c>
      <c r="Y127" s="14">
        <f t="shared" si="36"/>
        <v>0</v>
      </c>
      <c r="Z127" s="14">
        <f t="shared" si="37"/>
        <v>0</v>
      </c>
      <c r="AA127" s="13" t="s">
        <v>145</v>
      </c>
      <c r="AB127" s="161"/>
      <c r="AC127" s="162"/>
      <c r="AD127" s="16">
        <f t="shared" si="31"/>
        <v>0</v>
      </c>
      <c r="AE127" s="17"/>
      <c r="AF127" s="168"/>
      <c r="AG127" s="169"/>
      <c r="AH127" s="169"/>
      <c r="AI127" s="169"/>
      <c r="AJ127" s="170"/>
      <c r="AK127" s="180"/>
      <c r="AL127" s="181"/>
    </row>
    <row r="128" spans="1:38" s="12" customFormat="1" ht="113.25" customHeight="1" x14ac:dyDescent="2.1">
      <c r="B128" s="13" t="s">
        <v>146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13">
        <v>0</v>
      </c>
      <c r="Y128" s="14">
        <f t="shared" si="36"/>
        <v>0</v>
      </c>
      <c r="Z128" s="14">
        <f t="shared" si="37"/>
        <v>0</v>
      </c>
      <c r="AA128" s="13" t="s">
        <v>146</v>
      </c>
      <c r="AB128" s="161"/>
      <c r="AC128" s="162"/>
      <c r="AD128" s="16">
        <f t="shared" si="31"/>
        <v>0</v>
      </c>
      <c r="AE128" s="17"/>
      <c r="AF128" s="39"/>
      <c r="AG128" s="24"/>
      <c r="AH128" s="24"/>
      <c r="AI128" s="24"/>
      <c r="AJ128" s="25"/>
      <c r="AK128" s="180"/>
      <c r="AL128" s="181"/>
    </row>
    <row r="129" spans="1:40" s="12" customFormat="1" ht="113.25" customHeight="1" x14ac:dyDescent="2.1">
      <c r="B129" s="13" t="s">
        <v>147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13">
        <v>0</v>
      </c>
      <c r="Y129" s="14">
        <f t="shared" si="36"/>
        <v>0</v>
      </c>
      <c r="Z129" s="14">
        <f t="shared" si="37"/>
        <v>0</v>
      </c>
      <c r="AA129" s="13" t="s">
        <v>147</v>
      </c>
      <c r="AB129" s="161"/>
      <c r="AC129" s="162"/>
      <c r="AD129" s="16">
        <f t="shared" si="31"/>
        <v>0</v>
      </c>
      <c r="AE129" s="17"/>
      <c r="AF129" s="171">
        <f>SUM(AD126:AD135)</f>
        <v>0</v>
      </c>
      <c r="AG129" s="169"/>
      <c r="AH129" s="169"/>
      <c r="AI129" s="169"/>
      <c r="AJ129" s="170"/>
      <c r="AK129" s="180"/>
      <c r="AL129" s="181"/>
    </row>
    <row r="130" spans="1:40" s="12" customFormat="1" ht="113.25" customHeight="1" x14ac:dyDescent="2.1">
      <c r="B130" s="13" t="s">
        <v>148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13">
        <v>0</v>
      </c>
      <c r="Y130" s="14">
        <f t="shared" si="36"/>
        <v>0</v>
      </c>
      <c r="Z130" s="14">
        <f t="shared" si="37"/>
        <v>0</v>
      </c>
      <c r="AA130" s="13" t="s">
        <v>148</v>
      </c>
      <c r="AB130" s="161"/>
      <c r="AC130" s="162"/>
      <c r="AD130" s="16">
        <f t="shared" si="31"/>
        <v>0</v>
      </c>
      <c r="AE130" s="17"/>
      <c r="AF130" s="23"/>
      <c r="AG130" s="24"/>
      <c r="AH130" s="24"/>
      <c r="AI130" s="24"/>
      <c r="AJ130" s="25"/>
      <c r="AK130" s="180"/>
      <c r="AL130" s="181"/>
    </row>
    <row r="131" spans="1:40" s="12" customFormat="1" ht="113.25" customHeight="1" x14ac:dyDescent="2.1">
      <c r="B131" s="13" t="s">
        <v>149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13">
        <v>0</v>
      </c>
      <c r="Y131" s="14">
        <f t="shared" si="36"/>
        <v>0</v>
      </c>
      <c r="Z131" s="14">
        <f t="shared" si="37"/>
        <v>0</v>
      </c>
      <c r="AA131" s="13" t="s">
        <v>149</v>
      </c>
      <c r="AB131" s="161"/>
      <c r="AC131" s="162"/>
      <c r="AD131" s="16">
        <f t="shared" si="31"/>
        <v>0</v>
      </c>
      <c r="AE131" s="17"/>
      <c r="AF131" s="26"/>
      <c r="AG131" s="27"/>
      <c r="AH131" s="27"/>
      <c r="AI131" s="27"/>
      <c r="AJ131" s="28"/>
      <c r="AK131" s="180"/>
      <c r="AL131" s="181"/>
    </row>
    <row r="132" spans="1:40" s="12" customFormat="1" ht="94.5" customHeight="1" x14ac:dyDescent="2.1">
      <c r="B132" s="13" t="s">
        <v>150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13">
        <v>0</v>
      </c>
      <c r="Y132" s="14">
        <f t="shared" si="36"/>
        <v>0</v>
      </c>
      <c r="Z132" s="14">
        <f t="shared" si="37"/>
        <v>0</v>
      </c>
      <c r="AA132" s="13" t="s">
        <v>150</v>
      </c>
      <c r="AB132" s="161"/>
      <c r="AC132" s="162"/>
      <c r="AD132" s="16">
        <f t="shared" si="31"/>
        <v>0</v>
      </c>
      <c r="AE132" s="17"/>
      <c r="AF132"/>
      <c r="AG132"/>
      <c r="AH132"/>
      <c r="AI132"/>
      <c r="AJ132"/>
      <c r="AK132" s="180"/>
      <c r="AL132" s="181"/>
    </row>
    <row r="133" spans="1:40" s="12" customFormat="1" ht="146.25" x14ac:dyDescent="2.1">
      <c r="B133" s="13" t="s">
        <v>151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13">
        <v>0</v>
      </c>
      <c r="Y133" s="14">
        <f t="shared" si="36"/>
        <v>0</v>
      </c>
      <c r="Z133" s="14">
        <f t="shared" si="37"/>
        <v>0</v>
      </c>
      <c r="AA133" s="13" t="s">
        <v>151</v>
      </c>
      <c r="AB133" s="161"/>
      <c r="AC133" s="162"/>
      <c r="AD133" s="16">
        <f t="shared" si="31"/>
        <v>0</v>
      </c>
      <c r="AE133" s="17"/>
      <c r="AF133" s="26"/>
      <c r="AG133" s="27"/>
      <c r="AH133" s="27"/>
      <c r="AI133" s="27"/>
      <c r="AJ133" s="28"/>
      <c r="AK133" s="180"/>
      <c r="AL133" s="181"/>
    </row>
    <row r="134" spans="1:40" s="12" customFormat="1" ht="146.25" x14ac:dyDescent="2.1">
      <c r="B134" s="13" t="s">
        <v>152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13">
        <v>0</v>
      </c>
      <c r="Y134" s="14">
        <f t="shared" si="36"/>
        <v>0</v>
      </c>
      <c r="Z134" s="14">
        <f t="shared" si="37"/>
        <v>0</v>
      </c>
      <c r="AA134" s="13" t="s">
        <v>152</v>
      </c>
      <c r="AB134" s="161"/>
      <c r="AC134" s="162"/>
      <c r="AD134" s="16">
        <f t="shared" si="31"/>
        <v>0</v>
      </c>
      <c r="AE134" s="17"/>
      <c r="AF134" s="26"/>
      <c r="AG134" s="27"/>
      <c r="AH134" s="27"/>
      <c r="AI134" s="27"/>
      <c r="AJ134" s="28"/>
      <c r="AK134" s="180"/>
      <c r="AL134" s="181"/>
    </row>
    <row r="135" spans="1:40" s="12" customFormat="1" ht="147" thickBot="1" x14ac:dyDescent="2.15">
      <c r="B135" s="13" t="s">
        <v>153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13">
        <v>0</v>
      </c>
      <c r="Y135" s="14">
        <f t="shared" si="36"/>
        <v>0</v>
      </c>
      <c r="Z135" s="14">
        <f t="shared" si="37"/>
        <v>0</v>
      </c>
      <c r="AA135" s="13" t="s">
        <v>153</v>
      </c>
      <c r="AB135" s="161"/>
      <c r="AC135" s="162"/>
      <c r="AD135" s="16">
        <f t="shared" si="31"/>
        <v>0</v>
      </c>
      <c r="AE135" s="17"/>
      <c r="AF135" s="83"/>
      <c r="AG135" s="84"/>
      <c r="AH135" s="84"/>
      <c r="AI135" s="84"/>
      <c r="AJ135" s="85"/>
      <c r="AK135" s="180"/>
      <c r="AL135" s="181"/>
    </row>
    <row r="136" spans="1:40" s="12" customFormat="1" ht="113.25" customHeight="1" thickBot="1" x14ac:dyDescent="2.15">
      <c r="B136" s="13"/>
      <c r="C136" s="30">
        <f>SUM(C126:C135)</f>
        <v>0</v>
      </c>
      <c r="D136" s="30">
        <f t="shared" ref="D136:W136" si="38">SUM(D126:D135)</f>
        <v>0</v>
      </c>
      <c r="E136" s="30">
        <f t="shared" si="38"/>
        <v>0</v>
      </c>
      <c r="F136" s="30">
        <f t="shared" si="38"/>
        <v>0</v>
      </c>
      <c r="G136" s="30">
        <f t="shared" si="38"/>
        <v>0</v>
      </c>
      <c r="H136" s="30">
        <f t="shared" si="38"/>
        <v>0</v>
      </c>
      <c r="I136" s="30">
        <f t="shared" si="38"/>
        <v>0</v>
      </c>
      <c r="J136" s="30">
        <f t="shared" si="38"/>
        <v>0</v>
      </c>
      <c r="K136" s="30">
        <f t="shared" si="38"/>
        <v>0</v>
      </c>
      <c r="L136" s="30">
        <f t="shared" si="38"/>
        <v>0</v>
      </c>
      <c r="M136" s="30">
        <f t="shared" si="38"/>
        <v>0</v>
      </c>
      <c r="N136" s="30">
        <f t="shared" si="38"/>
        <v>0</v>
      </c>
      <c r="O136" s="30">
        <f t="shared" si="38"/>
        <v>0</v>
      </c>
      <c r="P136" s="30">
        <f t="shared" si="38"/>
        <v>0</v>
      </c>
      <c r="Q136" s="30">
        <f t="shared" si="38"/>
        <v>0</v>
      </c>
      <c r="R136" s="30">
        <f t="shared" si="38"/>
        <v>0</v>
      </c>
      <c r="S136" s="30">
        <f t="shared" si="38"/>
        <v>0</v>
      </c>
      <c r="T136" s="30">
        <f t="shared" si="38"/>
        <v>0</v>
      </c>
      <c r="U136" s="30">
        <f t="shared" si="38"/>
        <v>0</v>
      </c>
      <c r="V136" s="30">
        <f t="shared" si="38"/>
        <v>0</v>
      </c>
      <c r="W136" s="30">
        <f t="shared" si="38"/>
        <v>0</v>
      </c>
      <c r="X136" s="114">
        <v>0</v>
      </c>
      <c r="Y136" s="14"/>
      <c r="Z136" s="14"/>
      <c r="AA136" s="13"/>
      <c r="AB136" s="163"/>
      <c r="AC136" s="164"/>
      <c r="AD136" s="16">
        <f t="shared" si="31"/>
        <v>0</v>
      </c>
      <c r="AE136" s="17"/>
      <c r="AF136" s="182" t="s">
        <v>154</v>
      </c>
      <c r="AG136" s="183"/>
      <c r="AH136" s="183"/>
      <c r="AI136" s="183"/>
      <c r="AJ136" s="183"/>
      <c r="AK136" s="180"/>
      <c r="AL136" s="181"/>
    </row>
    <row r="137" spans="1:40" s="12" customFormat="1" ht="146.25" x14ac:dyDescent="2.1">
      <c r="B137" s="13" t="s">
        <v>155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13">
        <v>0</v>
      </c>
      <c r="Y137" s="14">
        <f>SUM(C137,E137,G137,I137,K137,,M137,O137,Q137,S137,U137,W137)</f>
        <v>0</v>
      </c>
      <c r="Z137" s="14">
        <f>SUM(D137,F137,H137,J137,L137,,N137,P137,R137,T137,V137)</f>
        <v>0</v>
      </c>
      <c r="AA137" s="13" t="s">
        <v>155</v>
      </c>
      <c r="AB137" s="154"/>
      <c r="AC137" s="155"/>
      <c r="AD137" s="16">
        <f>X137</f>
        <v>0</v>
      </c>
      <c r="AE137" s="17"/>
      <c r="AF137" s="184">
        <f>AD137</f>
        <v>0</v>
      </c>
      <c r="AG137" s="183"/>
      <c r="AH137" s="183"/>
      <c r="AI137" s="183"/>
      <c r="AJ137" s="183"/>
      <c r="AK137" s="180"/>
      <c r="AL137" s="181"/>
    </row>
    <row r="138" spans="1:40" s="88" customFormat="1" ht="108" customHeight="1" x14ac:dyDescent="2.35">
      <c r="A138"/>
      <c r="B138" s="86" t="s">
        <v>156</v>
      </c>
      <c r="C138" s="142" t="s">
        <v>2</v>
      </c>
      <c r="D138" s="143"/>
      <c r="E138" s="142" t="s">
        <v>3</v>
      </c>
      <c r="F138" s="143"/>
      <c r="G138" s="142" t="s">
        <v>4</v>
      </c>
      <c r="H138" s="143"/>
      <c r="I138" s="142" t="s">
        <v>5</v>
      </c>
      <c r="J138" s="143"/>
      <c r="K138" s="142" t="s">
        <v>6</v>
      </c>
      <c r="L138" s="143"/>
      <c r="M138" s="142" t="s">
        <v>8</v>
      </c>
      <c r="N138" s="143"/>
      <c r="O138" s="142" t="s">
        <v>9</v>
      </c>
      <c r="P138" s="143"/>
      <c r="Q138" s="142" t="s">
        <v>10</v>
      </c>
      <c r="R138" s="143"/>
      <c r="S138" s="142" t="s">
        <v>11</v>
      </c>
      <c r="T138" s="143"/>
      <c r="U138" s="142" t="s">
        <v>12</v>
      </c>
      <c r="V138" s="143"/>
      <c r="W138" s="9" t="s">
        <v>13</v>
      </c>
      <c r="X138" s="119"/>
      <c r="Y138" s="49" t="s">
        <v>14</v>
      </c>
      <c r="Z138" s="49" t="s">
        <v>15</v>
      </c>
      <c r="AA138" s="86" t="s">
        <v>156</v>
      </c>
      <c r="AB138" s="157"/>
      <c r="AC138" s="158"/>
      <c r="AD138" s="6" t="s">
        <v>17</v>
      </c>
      <c r="AE138" s="7"/>
      <c r="AF138" s="2"/>
      <c r="AG138" s="2"/>
      <c r="AH138" s="2"/>
      <c r="AI138" s="2"/>
      <c r="AJ138" s="2"/>
      <c r="AK138" s="87"/>
      <c r="AL138" s="87"/>
      <c r="AM138" s="47"/>
      <c r="AN138" s="47"/>
    </row>
    <row r="139" spans="1:40" s="47" customFormat="1" ht="112.5" customHeight="1" x14ac:dyDescent="2.35">
      <c r="A139" s="12"/>
      <c r="B139" s="13" t="s">
        <v>157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13">
        <v>0</v>
      </c>
      <c r="Y139" s="14">
        <f>SUM(C139,E139,G139,I139,K139,,M139,O139,Q139,S139,U139,W139)</f>
        <v>0</v>
      </c>
      <c r="Z139" s="14">
        <f>SUM(D139,F139,H139,J139,L139,,N139,P139,R139,T139,V139)</f>
        <v>0</v>
      </c>
      <c r="AA139" s="13" t="s">
        <v>157</v>
      </c>
      <c r="AB139" s="176">
        <f>SUM(Y139:Y140)</f>
        <v>0</v>
      </c>
      <c r="AC139" s="177"/>
      <c r="AD139" s="16">
        <f>X139</f>
        <v>0</v>
      </c>
      <c r="AE139" s="17"/>
      <c r="AF139" s="2"/>
      <c r="AG139" s="2"/>
      <c r="AH139" s="2"/>
      <c r="AI139" s="2"/>
      <c r="AJ139" s="2"/>
      <c r="AK139" s="87"/>
      <c r="AL139" s="87"/>
    </row>
    <row r="140" spans="1:40" s="47" customFormat="1" ht="112.5" customHeight="1" x14ac:dyDescent="2.35">
      <c r="A140" s="12"/>
      <c r="B140" s="13" t="s">
        <v>158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13">
        <v>0</v>
      </c>
      <c r="Y140" s="14">
        <f>SUM(C140,E140,G140,I140,K140,,M140,O140,Q140,S140,U140,W140)</f>
        <v>0</v>
      </c>
      <c r="Z140" s="14">
        <f>SUM(D140,F140,H140,J140,L140,,N140,P140,R140,T140,V140)</f>
        <v>0</v>
      </c>
      <c r="AA140" s="13" t="s">
        <v>158</v>
      </c>
      <c r="AB140" s="178"/>
      <c r="AC140" s="179"/>
      <c r="AD140" s="16">
        <f>X140</f>
        <v>0</v>
      </c>
      <c r="AE140" s="17"/>
      <c r="AF140" s="2"/>
      <c r="AG140" s="2"/>
      <c r="AH140" s="2"/>
      <c r="AI140" s="2"/>
      <c r="AJ140" s="2"/>
      <c r="AK140" s="89"/>
      <c r="AL140" s="89"/>
      <c r="AM140" s="88"/>
      <c r="AN140" s="88"/>
    </row>
    <row r="141" spans="1:40" s="88" customFormat="1" ht="108" customHeight="1" x14ac:dyDescent="2.35">
      <c r="A141"/>
      <c r="B141" s="86" t="s">
        <v>159</v>
      </c>
      <c r="C141" s="142" t="s">
        <v>2</v>
      </c>
      <c r="D141" s="143"/>
      <c r="E141" s="142" t="s">
        <v>3</v>
      </c>
      <c r="F141" s="143"/>
      <c r="G141" s="142" t="s">
        <v>4</v>
      </c>
      <c r="H141" s="143"/>
      <c r="I141" s="142" t="s">
        <v>5</v>
      </c>
      <c r="J141" s="143"/>
      <c r="K141" s="142" t="s">
        <v>6</v>
      </c>
      <c r="L141" s="143"/>
      <c r="M141" s="142" t="s">
        <v>8</v>
      </c>
      <c r="N141" s="143"/>
      <c r="O141" s="142" t="s">
        <v>9</v>
      </c>
      <c r="P141" s="143"/>
      <c r="Q141" s="142" t="s">
        <v>10</v>
      </c>
      <c r="R141" s="143"/>
      <c r="S141" s="142" t="s">
        <v>11</v>
      </c>
      <c r="T141" s="143"/>
      <c r="U141" s="142" t="s">
        <v>12</v>
      </c>
      <c r="V141" s="143"/>
      <c r="W141" s="9" t="s">
        <v>13</v>
      </c>
      <c r="X141" s="119"/>
      <c r="Y141" s="49" t="s">
        <v>14</v>
      </c>
      <c r="Z141" s="49" t="s">
        <v>15</v>
      </c>
      <c r="AA141" s="86" t="s">
        <v>159</v>
      </c>
      <c r="AB141" s="157"/>
      <c r="AC141" s="158"/>
      <c r="AD141" s="6" t="s">
        <v>17</v>
      </c>
      <c r="AE141" s="7"/>
      <c r="AF141" s="2"/>
      <c r="AG141" s="2"/>
      <c r="AH141" s="2"/>
      <c r="AI141" s="2"/>
      <c r="AJ141" s="2"/>
      <c r="AK141" s="87"/>
      <c r="AL141" s="87"/>
      <c r="AM141" s="47"/>
      <c r="AN141" s="47"/>
    </row>
    <row r="142" spans="1:40" s="47" customFormat="1" ht="116.25" customHeight="1" x14ac:dyDescent="2.35">
      <c r="A142" s="12"/>
      <c r="B142" s="13" t="s">
        <v>160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13">
        <v>0</v>
      </c>
      <c r="Y142" s="14">
        <f t="shared" ref="Y142:Y152" si="39">SUM(C142,E142,G142,I142,K142,,M142,O142,Q142,S142,U142,W142)</f>
        <v>0</v>
      </c>
      <c r="Z142" s="14">
        <f t="shared" ref="Z142:Z152" si="40">SUM(D142,F142,H142,J142,L142,,N142,P142,R142,T142,V142)</f>
        <v>0</v>
      </c>
      <c r="AA142" s="13" t="s">
        <v>160</v>
      </c>
      <c r="AB142" s="159">
        <f>SUM(Y142:Y152)</f>
        <v>0</v>
      </c>
      <c r="AC142" s="160"/>
      <c r="AD142" s="16">
        <f>X142</f>
        <v>0</v>
      </c>
      <c r="AE142" s="17"/>
      <c r="AF142" s="2"/>
      <c r="AG142" s="2"/>
      <c r="AH142" s="2"/>
      <c r="AI142" s="2"/>
      <c r="AJ142" s="2"/>
      <c r="AK142" s="87"/>
      <c r="AL142" s="87"/>
    </row>
    <row r="143" spans="1:40" s="47" customFormat="1" ht="116.25" customHeight="1" x14ac:dyDescent="2.35">
      <c r="A143" s="12"/>
      <c r="B143" s="13" t="s">
        <v>159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13">
        <v>0</v>
      </c>
      <c r="Y143" s="14">
        <f t="shared" si="39"/>
        <v>0</v>
      </c>
      <c r="Z143" s="14">
        <f t="shared" si="40"/>
        <v>0</v>
      </c>
      <c r="AA143" s="13" t="s">
        <v>159</v>
      </c>
      <c r="AB143" s="161"/>
      <c r="AC143" s="162"/>
      <c r="AD143" s="16">
        <f t="shared" ref="AD143:AD152" si="41">X143</f>
        <v>0</v>
      </c>
      <c r="AE143" s="17"/>
      <c r="AF143" s="2"/>
      <c r="AG143" s="2"/>
      <c r="AH143" s="2"/>
      <c r="AI143" s="2"/>
      <c r="AJ143" s="2"/>
      <c r="AK143" s="87"/>
      <c r="AL143" s="87"/>
    </row>
    <row r="144" spans="1:40" s="47" customFormat="1" x14ac:dyDescent="2.35">
      <c r="A144" s="12"/>
      <c r="B144" s="13" t="s">
        <v>161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13">
        <v>0</v>
      </c>
      <c r="Y144" s="14">
        <f t="shared" si="39"/>
        <v>0</v>
      </c>
      <c r="Z144" s="14">
        <f t="shared" si="40"/>
        <v>0</v>
      </c>
      <c r="AA144" s="13" t="s">
        <v>161</v>
      </c>
      <c r="AB144" s="161"/>
      <c r="AC144" s="162"/>
      <c r="AD144" s="16">
        <f t="shared" si="41"/>
        <v>0</v>
      </c>
      <c r="AE144" s="17"/>
      <c r="AF144" s="2"/>
      <c r="AG144" s="2"/>
      <c r="AH144" s="2"/>
      <c r="AI144" s="2"/>
      <c r="AJ144" s="2"/>
      <c r="AK144" s="87"/>
      <c r="AL144" s="87"/>
    </row>
    <row r="145" spans="1:40" s="47" customFormat="1" ht="116.25" customHeight="1" x14ac:dyDescent="2.35">
      <c r="A145" s="12"/>
      <c r="B145" s="13" t="s">
        <v>162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13">
        <v>0</v>
      </c>
      <c r="Y145" s="14">
        <f t="shared" si="39"/>
        <v>0</v>
      </c>
      <c r="Z145" s="14">
        <f t="shared" si="40"/>
        <v>0</v>
      </c>
      <c r="AA145" s="13" t="s">
        <v>162</v>
      </c>
      <c r="AB145" s="161"/>
      <c r="AC145" s="162"/>
      <c r="AD145" s="16">
        <f t="shared" si="41"/>
        <v>0</v>
      </c>
      <c r="AE145" s="17"/>
      <c r="AF145" s="2"/>
      <c r="AG145" s="2"/>
      <c r="AH145" s="2"/>
      <c r="AI145" s="2"/>
      <c r="AJ145" s="2"/>
      <c r="AK145" s="87"/>
      <c r="AL145" s="87"/>
    </row>
    <row r="146" spans="1:40" s="47" customFormat="1" ht="116.25" customHeight="1" x14ac:dyDescent="2.35">
      <c r="A146" s="12"/>
      <c r="B146" s="13" t="s">
        <v>163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13">
        <v>0</v>
      </c>
      <c r="Y146" s="14">
        <f t="shared" si="39"/>
        <v>0</v>
      </c>
      <c r="Z146" s="14">
        <f t="shared" si="40"/>
        <v>0</v>
      </c>
      <c r="AA146" s="13" t="s">
        <v>163</v>
      </c>
      <c r="AB146" s="161"/>
      <c r="AC146" s="162"/>
      <c r="AD146" s="16">
        <f t="shared" si="41"/>
        <v>0</v>
      </c>
      <c r="AE146" s="17"/>
      <c r="AF146" s="2"/>
      <c r="AG146" s="2"/>
      <c r="AH146" s="2"/>
      <c r="AI146" s="2"/>
      <c r="AJ146" s="2"/>
      <c r="AK146" s="87"/>
      <c r="AL146" s="87"/>
    </row>
    <row r="147" spans="1:40" s="47" customFormat="1" ht="116.25" customHeight="1" x14ac:dyDescent="2.35">
      <c r="A147" s="12"/>
      <c r="B147" s="13" t="s">
        <v>164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13">
        <v>0</v>
      </c>
      <c r="Y147" s="14">
        <f t="shared" si="39"/>
        <v>0</v>
      </c>
      <c r="Z147" s="14">
        <f t="shared" si="40"/>
        <v>0</v>
      </c>
      <c r="AA147" s="13" t="s">
        <v>164</v>
      </c>
      <c r="AB147" s="161"/>
      <c r="AC147" s="162"/>
      <c r="AD147" s="16">
        <f t="shared" si="41"/>
        <v>0</v>
      </c>
      <c r="AE147" s="17"/>
      <c r="AF147" s="2"/>
      <c r="AG147" s="2"/>
      <c r="AH147" s="2"/>
      <c r="AI147" s="2"/>
      <c r="AJ147" s="2"/>
      <c r="AK147" s="87"/>
      <c r="AL147" s="87"/>
    </row>
    <row r="148" spans="1:40" s="47" customFormat="1" ht="116.25" customHeight="1" x14ac:dyDescent="2.35">
      <c r="A148" s="12"/>
      <c r="B148" s="13" t="s">
        <v>165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13">
        <v>0</v>
      </c>
      <c r="Y148" s="14">
        <f t="shared" si="39"/>
        <v>0</v>
      </c>
      <c r="Z148" s="14">
        <f t="shared" si="40"/>
        <v>0</v>
      </c>
      <c r="AA148" s="13" t="s">
        <v>165</v>
      </c>
      <c r="AB148" s="161"/>
      <c r="AC148" s="162"/>
      <c r="AD148" s="16">
        <f t="shared" si="41"/>
        <v>0</v>
      </c>
      <c r="AE148" s="17"/>
      <c r="AF148" s="2"/>
      <c r="AG148" s="2"/>
      <c r="AH148" s="2"/>
      <c r="AI148" s="2"/>
      <c r="AJ148" s="2"/>
      <c r="AK148" s="87"/>
      <c r="AL148" s="87"/>
    </row>
    <row r="149" spans="1:40" s="47" customFormat="1" ht="116.25" customHeight="1" x14ac:dyDescent="2.35">
      <c r="A149" s="12"/>
      <c r="B149" s="13" t="s">
        <v>166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13">
        <v>0</v>
      </c>
      <c r="Y149" s="14">
        <f t="shared" si="39"/>
        <v>0</v>
      </c>
      <c r="Z149" s="14">
        <f t="shared" si="40"/>
        <v>0</v>
      </c>
      <c r="AA149" s="13" t="s">
        <v>166</v>
      </c>
      <c r="AB149" s="161"/>
      <c r="AC149" s="162"/>
      <c r="AD149" s="16">
        <f t="shared" si="41"/>
        <v>0</v>
      </c>
      <c r="AE149" s="17"/>
      <c r="AF149" s="2"/>
      <c r="AG149" s="2"/>
      <c r="AH149" s="2"/>
      <c r="AI149" s="2"/>
      <c r="AJ149" s="2"/>
      <c r="AK149" s="87"/>
      <c r="AL149" s="87"/>
    </row>
    <row r="150" spans="1:40" s="47" customFormat="1" x14ac:dyDescent="2.35">
      <c r="A150" s="12"/>
      <c r="B150" s="13" t="s">
        <v>167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13">
        <v>0</v>
      </c>
      <c r="Y150" s="14">
        <f t="shared" si="39"/>
        <v>0</v>
      </c>
      <c r="Z150" s="14">
        <f t="shared" si="40"/>
        <v>0</v>
      </c>
      <c r="AA150" s="13" t="s">
        <v>167</v>
      </c>
      <c r="AB150" s="161"/>
      <c r="AC150" s="162"/>
      <c r="AD150" s="16">
        <f t="shared" si="41"/>
        <v>0</v>
      </c>
      <c r="AE150" s="17"/>
      <c r="AF150" s="2"/>
      <c r="AG150" s="2"/>
      <c r="AH150" s="2"/>
      <c r="AI150" s="2"/>
      <c r="AJ150" s="2"/>
      <c r="AK150" s="87"/>
      <c r="AL150" s="87"/>
    </row>
    <row r="151" spans="1:40" s="47" customFormat="1" x14ac:dyDescent="2.35">
      <c r="A151" s="12"/>
      <c r="B151" s="13" t="s">
        <v>168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13">
        <v>0</v>
      </c>
      <c r="Y151" s="14">
        <f t="shared" si="39"/>
        <v>0</v>
      </c>
      <c r="Z151" s="14">
        <f t="shared" si="40"/>
        <v>0</v>
      </c>
      <c r="AA151" s="13" t="s">
        <v>169</v>
      </c>
      <c r="AB151" s="161"/>
      <c r="AC151" s="162"/>
      <c r="AD151" s="16">
        <f t="shared" si="41"/>
        <v>0</v>
      </c>
      <c r="AE151" s="17"/>
      <c r="AF151" s="2"/>
      <c r="AG151" s="2"/>
      <c r="AH151" s="2"/>
      <c r="AI151" s="2"/>
      <c r="AJ151" s="2"/>
      <c r="AK151" s="87"/>
      <c r="AL151" s="87"/>
    </row>
    <row r="152" spans="1:40" s="47" customFormat="1" ht="116.25" customHeight="1" x14ac:dyDescent="2.35">
      <c r="A152" s="12"/>
      <c r="B152" s="13" t="s">
        <v>170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13">
        <v>0</v>
      </c>
      <c r="Y152" s="14">
        <f t="shared" si="39"/>
        <v>0</v>
      </c>
      <c r="Z152" s="14">
        <f t="shared" si="40"/>
        <v>0</v>
      </c>
      <c r="AA152" s="13" t="s">
        <v>170</v>
      </c>
      <c r="AB152" s="163"/>
      <c r="AC152" s="164"/>
      <c r="AD152" s="16">
        <f t="shared" si="41"/>
        <v>0</v>
      </c>
      <c r="AE152" s="17"/>
      <c r="AF152" s="2"/>
      <c r="AG152" s="2"/>
      <c r="AH152" s="2"/>
      <c r="AI152" s="2"/>
      <c r="AJ152" s="2"/>
      <c r="AK152" s="90"/>
      <c r="AL152" s="90"/>
      <c r="AM152" s="91"/>
      <c r="AN152" s="88"/>
    </row>
    <row r="153" spans="1:40" s="12" customFormat="1" ht="113.25" customHeight="1" x14ac:dyDescent="2.1">
      <c r="B153" s="13"/>
      <c r="C153" s="30">
        <f t="shared" ref="C153:W153" si="42">SUM(C142:C152)</f>
        <v>0</v>
      </c>
      <c r="D153" s="30">
        <f t="shared" si="42"/>
        <v>0</v>
      </c>
      <c r="E153" s="30">
        <f t="shared" si="42"/>
        <v>0</v>
      </c>
      <c r="F153" s="30">
        <f t="shared" si="42"/>
        <v>0</v>
      </c>
      <c r="G153" s="30">
        <f t="shared" si="42"/>
        <v>0</v>
      </c>
      <c r="H153" s="30">
        <f t="shared" si="42"/>
        <v>0</v>
      </c>
      <c r="I153" s="30">
        <f t="shared" si="42"/>
        <v>0</v>
      </c>
      <c r="J153" s="30">
        <f t="shared" si="42"/>
        <v>0</v>
      </c>
      <c r="K153" s="30">
        <f t="shared" si="42"/>
        <v>0</v>
      </c>
      <c r="L153" s="30">
        <f t="shared" si="42"/>
        <v>0</v>
      </c>
      <c r="M153" s="30">
        <f t="shared" si="42"/>
        <v>0</v>
      </c>
      <c r="N153" s="30">
        <f t="shared" si="42"/>
        <v>0</v>
      </c>
      <c r="O153" s="30">
        <f t="shared" si="42"/>
        <v>0</v>
      </c>
      <c r="P153" s="30">
        <f t="shared" si="42"/>
        <v>0</v>
      </c>
      <c r="Q153" s="30">
        <f t="shared" si="42"/>
        <v>0</v>
      </c>
      <c r="R153" s="30">
        <f t="shared" si="42"/>
        <v>0</v>
      </c>
      <c r="S153" s="30">
        <f t="shared" si="42"/>
        <v>0</v>
      </c>
      <c r="T153" s="30">
        <f t="shared" si="42"/>
        <v>0</v>
      </c>
      <c r="U153" s="30">
        <f t="shared" si="42"/>
        <v>0</v>
      </c>
      <c r="V153" s="30">
        <f t="shared" si="42"/>
        <v>0</v>
      </c>
      <c r="W153" s="30">
        <f t="shared" si="42"/>
        <v>0</v>
      </c>
      <c r="X153" s="114"/>
      <c r="Y153" s="14"/>
      <c r="Z153" s="14"/>
      <c r="AA153" s="13"/>
      <c r="AB153" s="154"/>
      <c r="AC153" s="155"/>
      <c r="AD153" s="16">
        <v>0</v>
      </c>
      <c r="AE153" s="17"/>
      <c r="AF153" s="2"/>
      <c r="AG153" s="2"/>
      <c r="AH153" s="2"/>
      <c r="AI153" s="2"/>
      <c r="AJ153" s="2"/>
      <c r="AK153" s="92"/>
      <c r="AL153" s="92"/>
    </row>
    <row r="154" spans="1:40" ht="126" customHeight="1" x14ac:dyDescent="1.85">
      <c r="B154" s="174" t="s">
        <v>0</v>
      </c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"/>
      <c r="AK154" s="92"/>
      <c r="AL154" s="92"/>
    </row>
    <row r="155" spans="1:40" s="88" customFormat="1" ht="138.75" customHeight="1" x14ac:dyDescent="2.35">
      <c r="A155"/>
      <c r="B155" s="172" t="s">
        <v>171</v>
      </c>
      <c r="C155" s="142" t="s">
        <v>2</v>
      </c>
      <c r="D155" s="143"/>
      <c r="E155" s="142" t="s">
        <v>3</v>
      </c>
      <c r="F155" s="143"/>
      <c r="G155" s="142" t="s">
        <v>4</v>
      </c>
      <c r="H155" s="143"/>
      <c r="I155" s="142" t="s">
        <v>5</v>
      </c>
      <c r="J155" s="143"/>
      <c r="K155" s="142" t="s">
        <v>6</v>
      </c>
      <c r="L155" s="143"/>
      <c r="M155" s="142" t="s">
        <v>8</v>
      </c>
      <c r="N155" s="143"/>
      <c r="O155" s="142" t="s">
        <v>9</v>
      </c>
      <c r="P155" s="143"/>
      <c r="Q155" s="142" t="s">
        <v>10</v>
      </c>
      <c r="R155" s="143"/>
      <c r="S155" s="142" t="s">
        <v>11</v>
      </c>
      <c r="T155" s="143"/>
      <c r="U155" s="142" t="s">
        <v>12</v>
      </c>
      <c r="V155" s="143"/>
      <c r="W155" s="172" t="s">
        <v>13</v>
      </c>
      <c r="X155" s="111"/>
      <c r="Y155" s="172" t="s">
        <v>14</v>
      </c>
      <c r="Z155" s="172" t="s">
        <v>15</v>
      </c>
      <c r="AA155" s="172" t="s">
        <v>171</v>
      </c>
      <c r="AB155" s="157"/>
      <c r="AC155" s="158"/>
      <c r="AD155" s="6" t="s">
        <v>17</v>
      </c>
      <c r="AE155" s="7"/>
      <c r="AF155" s="2"/>
      <c r="AG155" s="2"/>
      <c r="AH155" s="2"/>
      <c r="AI155" s="2"/>
      <c r="AJ155" s="2"/>
      <c r="AK155" s="8"/>
      <c r="AL155" s="8"/>
      <c r="AM155" s="12"/>
      <c r="AN155" s="12"/>
    </row>
    <row r="156" spans="1:40" s="4" customFormat="1" ht="138" customHeight="1" x14ac:dyDescent="2.35">
      <c r="B156" s="173"/>
      <c r="C156" s="9" t="s">
        <v>18</v>
      </c>
      <c r="D156" s="9" t="s">
        <v>19</v>
      </c>
      <c r="E156" s="9" t="s">
        <v>18</v>
      </c>
      <c r="F156" s="9" t="s">
        <v>19</v>
      </c>
      <c r="G156" s="9" t="s">
        <v>18</v>
      </c>
      <c r="H156" s="9" t="s">
        <v>19</v>
      </c>
      <c r="I156" s="9" t="s">
        <v>18</v>
      </c>
      <c r="J156" s="9" t="s">
        <v>19</v>
      </c>
      <c r="K156" s="9" t="s">
        <v>18</v>
      </c>
      <c r="L156" s="9" t="s">
        <v>19</v>
      </c>
      <c r="M156" s="9" t="s">
        <v>18</v>
      </c>
      <c r="N156" s="9" t="s">
        <v>19</v>
      </c>
      <c r="O156" s="9" t="s">
        <v>18</v>
      </c>
      <c r="P156" s="9" t="s">
        <v>19</v>
      </c>
      <c r="Q156" s="9" t="s">
        <v>18</v>
      </c>
      <c r="R156" s="9" t="s">
        <v>19</v>
      </c>
      <c r="S156" s="9" t="s">
        <v>18</v>
      </c>
      <c r="T156" s="9" t="s">
        <v>19</v>
      </c>
      <c r="U156" s="9" t="s">
        <v>18</v>
      </c>
      <c r="V156" s="9" t="s">
        <v>19</v>
      </c>
      <c r="W156" s="173"/>
      <c r="X156" s="112"/>
      <c r="Y156" s="173"/>
      <c r="Z156" s="173"/>
      <c r="AA156" s="173"/>
      <c r="AB156" s="10"/>
      <c r="AC156" s="11"/>
      <c r="AD156" s="6">
        <v>0</v>
      </c>
      <c r="AE156" s="7"/>
      <c r="AF156" s="2"/>
      <c r="AG156" s="2"/>
      <c r="AH156" s="2"/>
      <c r="AI156" s="2"/>
      <c r="AJ156" s="2"/>
      <c r="AK156" s="8"/>
      <c r="AL156" s="8"/>
    </row>
    <row r="157" spans="1:40" s="12" customFormat="1" ht="110.25" customHeight="1" x14ac:dyDescent="2.35">
      <c r="B157" s="13" t="s">
        <v>172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13">
        <v>0</v>
      </c>
      <c r="Y157" s="14">
        <f t="shared" ref="Y157:Y162" si="43">SUM(C157,E157,G157,I157,K157,,M157,O157,Q157,S157,U157,W157)</f>
        <v>0</v>
      </c>
      <c r="Z157" s="14">
        <f t="shared" ref="Z157:Z162" si="44">SUM(D157,F157,H157,J157,L157,,N157,P157,R157,T157,V157)</f>
        <v>0</v>
      </c>
      <c r="AA157" s="13" t="s">
        <v>173</v>
      </c>
      <c r="AB157" s="159">
        <f>SUM(Y157:Y162)</f>
        <v>0</v>
      </c>
      <c r="AC157" s="160"/>
      <c r="AD157" s="16">
        <f>X157</f>
        <v>0</v>
      </c>
      <c r="AE157" s="17"/>
      <c r="AF157" s="2"/>
      <c r="AG157" s="2"/>
      <c r="AH157" s="2"/>
      <c r="AI157" s="2"/>
      <c r="AJ157" s="2"/>
      <c r="AK157" s="8"/>
      <c r="AL157" s="8"/>
    </row>
    <row r="158" spans="1:40" s="12" customFormat="1" ht="110.25" customHeight="1" x14ac:dyDescent="2.35">
      <c r="B158" s="13" t="s">
        <v>174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13">
        <v>0</v>
      </c>
      <c r="Y158" s="14">
        <f t="shared" si="43"/>
        <v>0</v>
      </c>
      <c r="Z158" s="14">
        <f t="shared" si="44"/>
        <v>0</v>
      </c>
      <c r="AA158" s="13" t="s">
        <v>174</v>
      </c>
      <c r="AB158" s="161"/>
      <c r="AC158" s="162"/>
      <c r="AD158" s="16">
        <f t="shared" ref="AD158:AD162" si="45">X158</f>
        <v>0</v>
      </c>
      <c r="AE158" s="17"/>
      <c r="AF158" s="2"/>
      <c r="AG158" s="2"/>
      <c r="AH158" s="2"/>
      <c r="AI158" s="2"/>
      <c r="AJ158" s="2"/>
      <c r="AK158" s="8"/>
      <c r="AL158" s="8"/>
    </row>
    <row r="159" spans="1:40" s="12" customFormat="1" ht="110.25" customHeight="1" x14ac:dyDescent="2.35">
      <c r="B159" s="13" t="s">
        <v>175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13">
        <v>0</v>
      </c>
      <c r="Y159" s="14">
        <f t="shared" si="43"/>
        <v>0</v>
      </c>
      <c r="Z159" s="14">
        <f t="shared" si="44"/>
        <v>0</v>
      </c>
      <c r="AA159" s="13" t="s">
        <v>175</v>
      </c>
      <c r="AB159" s="161"/>
      <c r="AC159" s="162"/>
      <c r="AD159" s="16">
        <f t="shared" si="45"/>
        <v>0</v>
      </c>
      <c r="AE159" s="17"/>
      <c r="AF159" s="2"/>
      <c r="AG159" s="2"/>
      <c r="AH159" s="2"/>
      <c r="AI159" s="2"/>
      <c r="AJ159" s="2"/>
      <c r="AK159" s="8"/>
      <c r="AL159" s="8"/>
    </row>
    <row r="160" spans="1:40" s="12" customFormat="1" ht="110.25" customHeight="1" x14ac:dyDescent="2.35">
      <c r="B160" s="13" t="s">
        <v>176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13">
        <v>0</v>
      </c>
      <c r="Y160" s="14">
        <f t="shared" si="43"/>
        <v>0</v>
      </c>
      <c r="Z160" s="14">
        <f t="shared" si="44"/>
        <v>0</v>
      </c>
      <c r="AA160" s="13" t="s">
        <v>176</v>
      </c>
      <c r="AB160" s="161"/>
      <c r="AC160" s="162"/>
      <c r="AD160" s="16">
        <f t="shared" si="45"/>
        <v>0</v>
      </c>
      <c r="AE160" s="17"/>
      <c r="AF160" s="2"/>
      <c r="AG160" s="2"/>
      <c r="AH160" s="2"/>
      <c r="AI160" s="2"/>
      <c r="AJ160" s="2"/>
      <c r="AK160" s="8"/>
      <c r="AL160" s="8"/>
    </row>
    <row r="161" spans="2:40" s="12" customFormat="1" ht="110.25" customHeight="1" x14ac:dyDescent="2.35">
      <c r="B161" s="13" t="s">
        <v>177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13">
        <v>0</v>
      </c>
      <c r="Y161" s="14">
        <f t="shared" si="43"/>
        <v>0</v>
      </c>
      <c r="Z161" s="14">
        <f t="shared" si="44"/>
        <v>0</v>
      </c>
      <c r="AA161" s="13" t="s">
        <v>177</v>
      </c>
      <c r="AB161" s="161"/>
      <c r="AC161" s="162"/>
      <c r="AD161" s="16">
        <f t="shared" si="45"/>
        <v>0</v>
      </c>
      <c r="AE161" s="17"/>
      <c r="AF161" s="2"/>
      <c r="AG161" s="2"/>
      <c r="AH161" s="2"/>
      <c r="AI161" s="2"/>
      <c r="AJ161" s="2"/>
      <c r="AK161" s="8"/>
      <c r="AL161" s="8"/>
    </row>
    <row r="162" spans="2:40" s="12" customFormat="1" ht="110.25" customHeight="1" x14ac:dyDescent="2.35">
      <c r="B162" s="13" t="s">
        <v>178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13">
        <v>0</v>
      </c>
      <c r="Y162" s="14">
        <f t="shared" si="43"/>
        <v>0</v>
      </c>
      <c r="Z162" s="14">
        <f t="shared" si="44"/>
        <v>0</v>
      </c>
      <c r="AA162" s="13" t="s">
        <v>178</v>
      </c>
      <c r="AB162" s="163"/>
      <c r="AC162" s="164"/>
      <c r="AD162" s="16">
        <f t="shared" si="45"/>
        <v>0</v>
      </c>
      <c r="AE162" s="17"/>
      <c r="AF162" s="2"/>
      <c r="AG162" s="2"/>
      <c r="AH162" s="2"/>
      <c r="AI162" s="2"/>
      <c r="AJ162" s="2"/>
      <c r="AK162" s="3"/>
      <c r="AL162" s="3"/>
      <c r="AM162" s="2"/>
      <c r="AN162" s="2"/>
    </row>
    <row r="163" spans="2:40" s="2" customFormat="1" ht="123.75" customHeight="1" thickBot="1" x14ac:dyDescent="2.4">
      <c r="B163" s="79" t="s">
        <v>179</v>
      </c>
      <c r="C163" s="142" t="s">
        <v>2</v>
      </c>
      <c r="D163" s="143"/>
      <c r="E163" s="142" t="s">
        <v>3</v>
      </c>
      <c r="F163" s="143"/>
      <c r="G163" s="142" t="s">
        <v>4</v>
      </c>
      <c r="H163" s="143"/>
      <c r="I163" s="142" t="s">
        <v>5</v>
      </c>
      <c r="J163" s="143"/>
      <c r="K163" s="142" t="s">
        <v>6</v>
      </c>
      <c r="L163" s="143"/>
      <c r="M163" s="142" t="s">
        <v>8</v>
      </c>
      <c r="N163" s="143"/>
      <c r="O163" s="142" t="s">
        <v>9</v>
      </c>
      <c r="P163" s="143"/>
      <c r="Q163" s="142" t="s">
        <v>10</v>
      </c>
      <c r="R163" s="143"/>
      <c r="S163" s="142" t="s">
        <v>11</v>
      </c>
      <c r="T163" s="143"/>
      <c r="U163" s="142" t="s">
        <v>12</v>
      </c>
      <c r="V163" s="143"/>
      <c r="W163" s="9" t="s">
        <v>13</v>
      </c>
      <c r="X163" s="118"/>
      <c r="Y163" s="146" t="s">
        <v>14</v>
      </c>
      <c r="Z163" s="147"/>
      <c r="AA163" s="79" t="s">
        <v>179</v>
      </c>
      <c r="AB163" s="148"/>
      <c r="AC163" s="149"/>
      <c r="AD163" s="6" t="s">
        <v>17</v>
      </c>
      <c r="AE163" s="7"/>
      <c r="AF163" s="93"/>
      <c r="AG163" s="93"/>
      <c r="AK163" s="8"/>
      <c r="AL163" s="8"/>
      <c r="AM163" s="12"/>
      <c r="AN163" s="12"/>
    </row>
    <row r="164" spans="2:40" s="12" customFormat="1" ht="123.75" customHeight="1" x14ac:dyDescent="2.35">
      <c r="B164" s="13" t="s">
        <v>180</v>
      </c>
      <c r="C164" s="19">
        <v>0</v>
      </c>
      <c r="D164" s="20"/>
      <c r="E164" s="19">
        <v>0</v>
      </c>
      <c r="F164" s="20"/>
      <c r="G164" s="19">
        <v>0</v>
      </c>
      <c r="H164" s="20"/>
      <c r="I164" s="19">
        <v>0</v>
      </c>
      <c r="J164" s="20"/>
      <c r="K164" s="19">
        <v>0</v>
      </c>
      <c r="L164" s="20"/>
      <c r="M164" s="19">
        <v>0</v>
      </c>
      <c r="N164" s="20"/>
      <c r="O164" s="19">
        <v>0</v>
      </c>
      <c r="P164" s="20"/>
      <c r="Q164" s="19">
        <v>0</v>
      </c>
      <c r="R164" s="20"/>
      <c r="S164" s="19">
        <v>0</v>
      </c>
      <c r="T164" s="20"/>
      <c r="U164" s="19">
        <v>0</v>
      </c>
      <c r="V164" s="20"/>
      <c r="W164" s="14">
        <v>0</v>
      </c>
      <c r="X164" s="121">
        <v>0</v>
      </c>
      <c r="Y164" s="130">
        <f t="shared" ref="Y164:Y187" si="46">SUM(C164:W164)</f>
        <v>0</v>
      </c>
      <c r="Z164" s="131"/>
      <c r="AA164" s="13" t="s">
        <v>180</v>
      </c>
      <c r="AB164" s="159">
        <f>SUM(Y164:Y171)</f>
        <v>0</v>
      </c>
      <c r="AC164" s="160"/>
      <c r="AD164" s="16">
        <f>X164</f>
        <v>0</v>
      </c>
      <c r="AE164" s="94"/>
      <c r="AF164" s="165" t="s">
        <v>181</v>
      </c>
      <c r="AG164" s="166"/>
      <c r="AH164" s="166"/>
      <c r="AI164" s="166"/>
      <c r="AJ164" s="167"/>
      <c r="AK164" s="8"/>
      <c r="AL164" s="8"/>
    </row>
    <row r="165" spans="2:40" s="12" customFormat="1" ht="123.75" customHeight="1" x14ac:dyDescent="2.35">
      <c r="B165" s="13" t="s">
        <v>182</v>
      </c>
      <c r="C165" s="19">
        <v>0</v>
      </c>
      <c r="D165" s="20"/>
      <c r="E165" s="19">
        <v>0</v>
      </c>
      <c r="F165" s="20"/>
      <c r="G165" s="19">
        <v>0</v>
      </c>
      <c r="H165" s="20"/>
      <c r="I165" s="19">
        <v>0</v>
      </c>
      <c r="J165" s="20"/>
      <c r="K165" s="19">
        <v>0</v>
      </c>
      <c r="L165" s="20"/>
      <c r="M165" s="19">
        <v>0</v>
      </c>
      <c r="N165" s="20"/>
      <c r="O165" s="19">
        <v>0</v>
      </c>
      <c r="P165" s="20"/>
      <c r="Q165" s="19">
        <v>0</v>
      </c>
      <c r="R165" s="20"/>
      <c r="S165" s="19">
        <v>0</v>
      </c>
      <c r="T165" s="20"/>
      <c r="U165" s="19">
        <v>0</v>
      </c>
      <c r="V165" s="20"/>
      <c r="W165" s="14">
        <v>0</v>
      </c>
      <c r="X165" s="121">
        <v>0</v>
      </c>
      <c r="Y165" s="130">
        <f t="shared" si="46"/>
        <v>0</v>
      </c>
      <c r="Z165" s="131"/>
      <c r="AA165" s="13" t="s">
        <v>182</v>
      </c>
      <c r="AB165" s="161"/>
      <c r="AC165" s="162"/>
      <c r="AD165" s="16">
        <f t="shared" ref="AD165:AD170" si="47">X165</f>
        <v>0</v>
      </c>
      <c r="AE165" s="94"/>
      <c r="AF165" s="168"/>
      <c r="AG165" s="169"/>
      <c r="AH165" s="169"/>
      <c r="AI165" s="169"/>
      <c r="AJ165" s="170"/>
      <c r="AK165" s="8"/>
      <c r="AL165" s="8"/>
    </row>
    <row r="166" spans="2:40" s="12" customFormat="1" ht="123.75" customHeight="1" x14ac:dyDescent="2.35">
      <c r="B166" s="13" t="s">
        <v>183</v>
      </c>
      <c r="C166" s="19">
        <v>0</v>
      </c>
      <c r="D166" s="20"/>
      <c r="E166" s="19">
        <v>0</v>
      </c>
      <c r="F166" s="20"/>
      <c r="G166" s="19">
        <v>0</v>
      </c>
      <c r="H166" s="20"/>
      <c r="I166" s="19">
        <v>0</v>
      </c>
      <c r="J166" s="20"/>
      <c r="K166" s="19">
        <v>0</v>
      </c>
      <c r="L166" s="20"/>
      <c r="M166" s="19">
        <v>0</v>
      </c>
      <c r="N166" s="20"/>
      <c r="O166" s="19">
        <v>0</v>
      </c>
      <c r="P166" s="20"/>
      <c r="Q166" s="19">
        <v>0</v>
      </c>
      <c r="R166" s="20"/>
      <c r="S166" s="19">
        <v>0</v>
      </c>
      <c r="T166" s="20"/>
      <c r="U166" s="19">
        <v>0</v>
      </c>
      <c r="V166" s="20"/>
      <c r="W166" s="14">
        <v>0</v>
      </c>
      <c r="X166" s="121">
        <v>0</v>
      </c>
      <c r="Y166" s="130">
        <f t="shared" si="46"/>
        <v>0</v>
      </c>
      <c r="Z166" s="131"/>
      <c r="AA166" s="13" t="s">
        <v>183</v>
      </c>
      <c r="AB166" s="161"/>
      <c r="AC166" s="162"/>
      <c r="AD166" s="16">
        <f t="shared" si="47"/>
        <v>0</v>
      </c>
      <c r="AE166" s="94"/>
      <c r="AF166" s="168"/>
      <c r="AG166" s="169"/>
      <c r="AH166" s="169"/>
      <c r="AI166" s="169"/>
      <c r="AJ166" s="170"/>
      <c r="AK166" s="8"/>
      <c r="AL166" s="8"/>
    </row>
    <row r="167" spans="2:40" s="12" customFormat="1" ht="123.75" customHeight="1" x14ac:dyDescent="2.35">
      <c r="B167" s="13" t="s">
        <v>184</v>
      </c>
      <c r="C167" s="19">
        <v>0</v>
      </c>
      <c r="D167" s="20"/>
      <c r="E167" s="19">
        <v>0</v>
      </c>
      <c r="F167" s="20"/>
      <c r="G167" s="19">
        <v>0</v>
      </c>
      <c r="H167" s="20"/>
      <c r="I167" s="19">
        <v>0</v>
      </c>
      <c r="J167" s="20"/>
      <c r="K167" s="19">
        <v>0</v>
      </c>
      <c r="L167" s="20"/>
      <c r="M167" s="19">
        <v>0</v>
      </c>
      <c r="N167" s="20"/>
      <c r="O167" s="19">
        <v>0</v>
      </c>
      <c r="P167" s="20"/>
      <c r="Q167" s="19">
        <v>0</v>
      </c>
      <c r="R167" s="20"/>
      <c r="S167" s="19">
        <v>0</v>
      </c>
      <c r="T167" s="20"/>
      <c r="U167" s="19">
        <v>0</v>
      </c>
      <c r="V167" s="20"/>
      <c r="W167" s="14">
        <v>0</v>
      </c>
      <c r="X167" s="121">
        <v>0</v>
      </c>
      <c r="Y167" s="130">
        <f t="shared" si="46"/>
        <v>0</v>
      </c>
      <c r="Z167" s="131"/>
      <c r="AA167" s="13" t="s">
        <v>184</v>
      </c>
      <c r="AB167" s="161"/>
      <c r="AC167" s="162"/>
      <c r="AD167" s="16">
        <f t="shared" si="47"/>
        <v>0</v>
      </c>
      <c r="AE167" s="94"/>
      <c r="AF167" s="168"/>
      <c r="AG167" s="169"/>
      <c r="AH167" s="169"/>
      <c r="AI167" s="169"/>
      <c r="AJ167" s="170"/>
      <c r="AK167" s="8"/>
      <c r="AL167" s="8"/>
    </row>
    <row r="168" spans="2:40" s="12" customFormat="1" ht="123.75" customHeight="1" x14ac:dyDescent="2.35">
      <c r="B168" s="13" t="s">
        <v>185</v>
      </c>
      <c r="C168" s="19">
        <v>0</v>
      </c>
      <c r="D168" s="20"/>
      <c r="E168" s="19">
        <v>0</v>
      </c>
      <c r="F168" s="20"/>
      <c r="G168" s="19">
        <v>0</v>
      </c>
      <c r="H168" s="20"/>
      <c r="I168" s="19">
        <v>0</v>
      </c>
      <c r="J168" s="20"/>
      <c r="K168" s="19">
        <v>0</v>
      </c>
      <c r="L168" s="20"/>
      <c r="M168" s="19">
        <v>0</v>
      </c>
      <c r="N168" s="20"/>
      <c r="O168" s="19">
        <v>0</v>
      </c>
      <c r="P168" s="20"/>
      <c r="Q168" s="19">
        <v>0</v>
      </c>
      <c r="R168" s="20"/>
      <c r="S168" s="19">
        <v>0</v>
      </c>
      <c r="T168" s="20"/>
      <c r="U168" s="19">
        <v>0</v>
      </c>
      <c r="V168" s="20"/>
      <c r="W168" s="14">
        <v>0</v>
      </c>
      <c r="X168" s="121">
        <v>0</v>
      </c>
      <c r="Y168" s="130">
        <f t="shared" si="46"/>
        <v>0</v>
      </c>
      <c r="Z168" s="131"/>
      <c r="AA168" s="13" t="s">
        <v>185</v>
      </c>
      <c r="AB168" s="161"/>
      <c r="AC168" s="162"/>
      <c r="AD168" s="16">
        <f t="shared" si="47"/>
        <v>0</v>
      </c>
      <c r="AE168" s="94"/>
      <c r="AF168" s="171">
        <f>SUM(AD164:AD171)</f>
        <v>0</v>
      </c>
      <c r="AG168" s="169"/>
      <c r="AH168" s="169"/>
      <c r="AI168" s="169"/>
      <c r="AJ168" s="170"/>
      <c r="AK168" s="8"/>
      <c r="AL168" s="8"/>
    </row>
    <row r="169" spans="2:40" s="12" customFormat="1" ht="123.75" customHeight="1" x14ac:dyDescent="2.35">
      <c r="B169" s="13" t="s">
        <v>186</v>
      </c>
      <c r="C169" s="19">
        <v>0</v>
      </c>
      <c r="D169" s="20"/>
      <c r="E169" s="19">
        <v>0</v>
      </c>
      <c r="F169" s="20"/>
      <c r="G169" s="19">
        <v>0</v>
      </c>
      <c r="H169" s="20"/>
      <c r="I169" s="19">
        <v>0</v>
      </c>
      <c r="J169" s="20"/>
      <c r="K169" s="19">
        <v>0</v>
      </c>
      <c r="L169" s="20"/>
      <c r="M169" s="19">
        <v>0</v>
      </c>
      <c r="N169" s="20"/>
      <c r="O169" s="19">
        <v>0</v>
      </c>
      <c r="P169" s="20"/>
      <c r="Q169" s="19">
        <v>0</v>
      </c>
      <c r="R169" s="20"/>
      <c r="S169" s="19">
        <v>0</v>
      </c>
      <c r="T169" s="20"/>
      <c r="U169" s="19">
        <v>0</v>
      </c>
      <c r="V169" s="20"/>
      <c r="W169" s="14">
        <v>0</v>
      </c>
      <c r="X169" s="121">
        <v>0</v>
      </c>
      <c r="Y169" s="130">
        <f t="shared" si="46"/>
        <v>0</v>
      </c>
      <c r="Z169" s="131"/>
      <c r="AA169" s="13" t="s">
        <v>186</v>
      </c>
      <c r="AB169" s="161"/>
      <c r="AC169" s="162"/>
      <c r="AD169" s="16">
        <f t="shared" si="47"/>
        <v>0</v>
      </c>
      <c r="AE169" s="94"/>
      <c r="AF169" s="26"/>
      <c r="AG169" s="27"/>
      <c r="AH169" s="27"/>
      <c r="AI169" s="27"/>
      <c r="AJ169" s="28"/>
      <c r="AK169" s="8"/>
      <c r="AL169" s="8"/>
    </row>
    <row r="170" spans="2:40" s="12" customFormat="1" ht="123.75" customHeight="1" thickBot="1" x14ac:dyDescent="2.4">
      <c r="B170" s="13" t="s">
        <v>187</v>
      </c>
      <c r="C170" s="19">
        <v>0</v>
      </c>
      <c r="D170" s="20"/>
      <c r="E170" s="19">
        <v>0</v>
      </c>
      <c r="F170" s="20"/>
      <c r="G170" s="19">
        <v>0</v>
      </c>
      <c r="H170" s="20"/>
      <c r="I170" s="19">
        <v>0</v>
      </c>
      <c r="J170" s="20"/>
      <c r="K170" s="19">
        <v>0</v>
      </c>
      <c r="L170" s="20"/>
      <c r="M170" s="19">
        <v>0</v>
      </c>
      <c r="N170" s="20"/>
      <c r="O170" s="19">
        <v>0</v>
      </c>
      <c r="P170" s="20"/>
      <c r="Q170" s="19">
        <v>0</v>
      </c>
      <c r="R170" s="20"/>
      <c r="S170" s="19">
        <v>0</v>
      </c>
      <c r="T170" s="20"/>
      <c r="U170" s="19">
        <v>0</v>
      </c>
      <c r="V170" s="20"/>
      <c r="W170" s="14">
        <v>0</v>
      </c>
      <c r="X170" s="121">
        <v>0</v>
      </c>
      <c r="Y170" s="130">
        <f t="shared" si="46"/>
        <v>0</v>
      </c>
      <c r="Z170" s="131"/>
      <c r="AA170" s="13" t="s">
        <v>187</v>
      </c>
      <c r="AB170" s="161"/>
      <c r="AC170" s="162"/>
      <c r="AD170" s="16">
        <f t="shared" si="47"/>
        <v>0</v>
      </c>
      <c r="AE170" s="94"/>
      <c r="AF170" s="83"/>
      <c r="AG170" s="84"/>
      <c r="AH170" s="84"/>
      <c r="AI170" s="84"/>
      <c r="AJ170" s="85"/>
      <c r="AK170" s="8"/>
      <c r="AL170" s="8"/>
    </row>
    <row r="171" spans="2:40" s="12" customFormat="1" ht="123.75" customHeight="1" x14ac:dyDescent="2.35">
      <c r="B171" s="13" t="s">
        <v>188</v>
      </c>
      <c r="C171" s="19">
        <v>0</v>
      </c>
      <c r="D171" s="20"/>
      <c r="E171" s="19">
        <v>0</v>
      </c>
      <c r="F171" s="20"/>
      <c r="G171" s="19">
        <v>0</v>
      </c>
      <c r="H171" s="20"/>
      <c r="I171" s="19">
        <v>0</v>
      </c>
      <c r="J171" s="20"/>
      <c r="K171" s="19">
        <v>0</v>
      </c>
      <c r="L171" s="20"/>
      <c r="M171" s="19">
        <v>0</v>
      </c>
      <c r="N171" s="20"/>
      <c r="O171" s="19">
        <v>0</v>
      </c>
      <c r="P171" s="20"/>
      <c r="Q171" s="19">
        <v>0</v>
      </c>
      <c r="R171" s="20"/>
      <c r="S171" s="19">
        <v>0</v>
      </c>
      <c r="T171" s="20"/>
      <c r="U171" s="19">
        <v>0</v>
      </c>
      <c r="V171" s="20"/>
      <c r="W171" s="14">
        <v>0</v>
      </c>
      <c r="X171" s="121">
        <v>0</v>
      </c>
      <c r="Y171" s="130">
        <f t="shared" si="46"/>
        <v>0</v>
      </c>
      <c r="Z171" s="131"/>
      <c r="AA171" s="13" t="s">
        <v>188</v>
      </c>
      <c r="AB171" s="163"/>
      <c r="AC171" s="164"/>
      <c r="AD171" s="16">
        <f>X171</f>
        <v>0</v>
      </c>
      <c r="AE171" s="94"/>
      <c r="AF171" s="24"/>
      <c r="AG171" s="24"/>
      <c r="AH171" s="24"/>
      <c r="AI171" s="24"/>
      <c r="AJ171" s="24"/>
      <c r="AK171" s="8"/>
      <c r="AL171" s="8"/>
    </row>
    <row r="172" spans="2:40" ht="123.75" customHeight="1" x14ac:dyDescent="2.35">
      <c r="B172" s="86" t="s">
        <v>189</v>
      </c>
      <c r="C172" s="95">
        <f>SUM(C164:C171)</f>
        <v>0</v>
      </c>
      <c r="D172" s="96"/>
      <c r="E172" s="95">
        <f t="shared" ref="E172:W172" si="48">SUM(E164:E171)</f>
        <v>0</v>
      </c>
      <c r="F172" s="96"/>
      <c r="G172" s="95">
        <f t="shared" si="48"/>
        <v>0</v>
      </c>
      <c r="H172" s="96"/>
      <c r="I172" s="95">
        <f t="shared" si="48"/>
        <v>0</v>
      </c>
      <c r="J172" s="96"/>
      <c r="K172" s="95">
        <f t="shared" si="48"/>
        <v>0</v>
      </c>
      <c r="L172" s="96"/>
      <c r="M172" s="95">
        <f t="shared" si="48"/>
        <v>0</v>
      </c>
      <c r="N172" s="96"/>
      <c r="O172" s="95">
        <f t="shared" si="48"/>
        <v>0</v>
      </c>
      <c r="P172" s="96"/>
      <c r="Q172" s="95">
        <f t="shared" si="48"/>
        <v>0</v>
      </c>
      <c r="R172" s="96"/>
      <c r="S172" s="95">
        <f t="shared" si="48"/>
        <v>0</v>
      </c>
      <c r="T172" s="96"/>
      <c r="U172" s="95">
        <f t="shared" si="48"/>
        <v>0</v>
      </c>
      <c r="V172" s="96"/>
      <c r="W172" s="97">
        <f t="shared" si="48"/>
        <v>0</v>
      </c>
      <c r="X172" s="122"/>
      <c r="Y172" s="146">
        <f t="shared" si="46"/>
        <v>0</v>
      </c>
      <c r="Z172" s="147"/>
      <c r="AA172" s="86" t="s">
        <v>190</v>
      </c>
      <c r="AB172" s="157"/>
      <c r="AC172" s="158"/>
      <c r="AD172" s="6" t="s">
        <v>17</v>
      </c>
      <c r="AE172" s="7"/>
    </row>
    <row r="173" spans="2:40" s="12" customFormat="1" ht="123.75" customHeight="1" x14ac:dyDescent="2.35">
      <c r="B173" s="13" t="s">
        <v>191</v>
      </c>
      <c r="C173" s="19">
        <v>0</v>
      </c>
      <c r="D173" s="20"/>
      <c r="E173" s="19">
        <v>0</v>
      </c>
      <c r="F173" s="20"/>
      <c r="G173" s="19">
        <v>0</v>
      </c>
      <c r="H173" s="20"/>
      <c r="I173" s="19">
        <v>0</v>
      </c>
      <c r="J173" s="20"/>
      <c r="K173" s="19">
        <v>0</v>
      </c>
      <c r="L173" s="20"/>
      <c r="M173" s="19">
        <v>0</v>
      </c>
      <c r="N173" s="20"/>
      <c r="O173" s="19">
        <v>0</v>
      </c>
      <c r="P173" s="20"/>
      <c r="Q173" s="19">
        <v>0</v>
      </c>
      <c r="R173" s="20"/>
      <c r="S173" s="19">
        <v>0</v>
      </c>
      <c r="T173" s="20"/>
      <c r="U173" s="19">
        <v>0</v>
      </c>
      <c r="V173" s="20"/>
      <c r="W173" s="14">
        <v>0</v>
      </c>
      <c r="X173" s="121">
        <v>0</v>
      </c>
      <c r="Y173" s="130">
        <f t="shared" si="46"/>
        <v>0</v>
      </c>
      <c r="Z173" s="131"/>
      <c r="AA173" s="13" t="s">
        <v>191</v>
      </c>
      <c r="AB173" s="154"/>
      <c r="AC173" s="155"/>
      <c r="AD173" s="16">
        <f>X173</f>
        <v>0</v>
      </c>
      <c r="AE173" s="98"/>
      <c r="AF173" s="99"/>
      <c r="AG173" s="99"/>
      <c r="AH173" s="99"/>
      <c r="AI173" s="99"/>
      <c r="AJ173" s="99"/>
      <c r="AK173" s="8"/>
      <c r="AL173" s="8"/>
    </row>
    <row r="174" spans="2:40" s="12" customFormat="1" ht="123.75" customHeight="1" x14ac:dyDescent="2.35">
      <c r="B174" s="13" t="s">
        <v>192</v>
      </c>
      <c r="C174" s="19">
        <v>0</v>
      </c>
      <c r="D174" s="20"/>
      <c r="E174" s="19">
        <v>0</v>
      </c>
      <c r="F174" s="20"/>
      <c r="G174" s="19">
        <v>0</v>
      </c>
      <c r="H174" s="20"/>
      <c r="I174" s="19">
        <v>0</v>
      </c>
      <c r="J174" s="20"/>
      <c r="K174" s="19">
        <v>0</v>
      </c>
      <c r="L174" s="20"/>
      <c r="M174" s="19">
        <v>0</v>
      </c>
      <c r="N174" s="20"/>
      <c r="O174" s="19">
        <v>0</v>
      </c>
      <c r="P174" s="20"/>
      <c r="Q174" s="19">
        <v>0</v>
      </c>
      <c r="R174" s="20"/>
      <c r="S174" s="19">
        <v>0</v>
      </c>
      <c r="T174" s="20"/>
      <c r="U174" s="19">
        <v>0</v>
      </c>
      <c r="V174" s="20"/>
      <c r="W174" s="14">
        <v>0</v>
      </c>
      <c r="X174" s="121">
        <v>0</v>
      </c>
      <c r="Y174" s="130">
        <f t="shared" si="46"/>
        <v>0</v>
      </c>
      <c r="Z174" s="131"/>
      <c r="AA174" s="13" t="s">
        <v>192</v>
      </c>
      <c r="AB174" s="154"/>
      <c r="AC174" s="155"/>
      <c r="AD174" s="16">
        <f>X174</f>
        <v>0</v>
      </c>
      <c r="AE174" s="98"/>
      <c r="AF174" s="99"/>
      <c r="AG174" s="99"/>
      <c r="AH174" s="99"/>
      <c r="AI174" s="99"/>
      <c r="AJ174" s="99"/>
      <c r="AK174" s="8"/>
      <c r="AL174" s="8"/>
    </row>
    <row r="175" spans="2:40" s="12" customFormat="1" ht="123.75" customHeight="1" x14ac:dyDescent="2.35">
      <c r="B175" s="13" t="s">
        <v>193</v>
      </c>
      <c r="C175" s="19">
        <v>0</v>
      </c>
      <c r="D175" s="20"/>
      <c r="E175" s="19">
        <v>0</v>
      </c>
      <c r="F175" s="20"/>
      <c r="G175" s="19">
        <v>0</v>
      </c>
      <c r="H175" s="20"/>
      <c r="I175" s="19">
        <v>0</v>
      </c>
      <c r="J175" s="20"/>
      <c r="K175" s="19">
        <v>0</v>
      </c>
      <c r="L175" s="20"/>
      <c r="M175" s="19">
        <v>0</v>
      </c>
      <c r="N175" s="20"/>
      <c r="O175" s="19">
        <v>0</v>
      </c>
      <c r="P175" s="20"/>
      <c r="Q175" s="19">
        <v>0</v>
      </c>
      <c r="R175" s="20"/>
      <c r="S175" s="19">
        <v>0</v>
      </c>
      <c r="T175" s="20"/>
      <c r="U175" s="19">
        <v>0</v>
      </c>
      <c r="V175" s="20"/>
      <c r="W175" s="14">
        <v>0</v>
      </c>
      <c r="X175" s="121">
        <v>0</v>
      </c>
      <c r="Y175" s="130">
        <f t="shared" si="46"/>
        <v>0</v>
      </c>
      <c r="Z175" s="131"/>
      <c r="AA175" s="13" t="s">
        <v>193</v>
      </c>
      <c r="AB175" s="154"/>
      <c r="AC175" s="155"/>
      <c r="AD175" s="16">
        <f>X175</f>
        <v>0</v>
      </c>
      <c r="AE175" s="98"/>
      <c r="AF175" s="99"/>
      <c r="AG175" s="99"/>
      <c r="AH175" s="99"/>
      <c r="AI175" s="99"/>
      <c r="AJ175" s="99"/>
      <c r="AK175" s="8"/>
      <c r="AL175" s="8"/>
    </row>
    <row r="176" spans="2:40" s="12" customFormat="1" ht="123.75" customHeight="1" x14ac:dyDescent="2.35">
      <c r="B176" s="13" t="s">
        <v>194</v>
      </c>
      <c r="C176" s="19">
        <v>0</v>
      </c>
      <c r="D176" s="20"/>
      <c r="E176" s="19">
        <v>0</v>
      </c>
      <c r="F176" s="20"/>
      <c r="G176" s="19">
        <v>0</v>
      </c>
      <c r="H176" s="20"/>
      <c r="I176" s="19">
        <v>0</v>
      </c>
      <c r="J176" s="20"/>
      <c r="K176" s="19">
        <v>0</v>
      </c>
      <c r="L176" s="20"/>
      <c r="M176" s="19">
        <v>0</v>
      </c>
      <c r="N176" s="20"/>
      <c r="O176" s="19">
        <v>0</v>
      </c>
      <c r="P176" s="20"/>
      <c r="Q176" s="19">
        <v>0</v>
      </c>
      <c r="R176" s="20"/>
      <c r="S176" s="19">
        <v>0</v>
      </c>
      <c r="T176" s="20"/>
      <c r="U176" s="19">
        <v>0</v>
      </c>
      <c r="V176" s="20"/>
      <c r="W176" s="14">
        <v>0</v>
      </c>
      <c r="X176" s="121">
        <v>0</v>
      </c>
      <c r="Y176" s="130">
        <f t="shared" si="46"/>
        <v>0</v>
      </c>
      <c r="Z176" s="131"/>
      <c r="AA176" s="13" t="s">
        <v>194</v>
      </c>
      <c r="AB176" s="154"/>
      <c r="AC176" s="155"/>
      <c r="AD176" s="16">
        <f t="shared" ref="AD176:AD187" si="49">X176</f>
        <v>0</v>
      </c>
      <c r="AE176" s="98"/>
      <c r="AF176" s="99"/>
      <c r="AG176" s="99"/>
      <c r="AH176" s="99"/>
      <c r="AI176" s="99"/>
      <c r="AJ176" s="99"/>
      <c r="AK176" s="8"/>
      <c r="AL176" s="8"/>
    </row>
    <row r="177" spans="2:40" s="12" customFormat="1" ht="123.75" customHeight="1" x14ac:dyDescent="2.35">
      <c r="B177" s="13" t="s">
        <v>195</v>
      </c>
      <c r="C177" s="19">
        <v>0</v>
      </c>
      <c r="D177" s="20"/>
      <c r="E177" s="19">
        <v>0</v>
      </c>
      <c r="F177" s="20"/>
      <c r="G177" s="19">
        <v>0</v>
      </c>
      <c r="H177" s="20"/>
      <c r="I177" s="19">
        <v>0</v>
      </c>
      <c r="J177" s="20"/>
      <c r="K177" s="19">
        <v>0</v>
      </c>
      <c r="L177" s="20"/>
      <c r="M177" s="19">
        <v>0</v>
      </c>
      <c r="N177" s="20"/>
      <c r="O177" s="19">
        <v>0</v>
      </c>
      <c r="P177" s="20"/>
      <c r="Q177" s="19">
        <v>0</v>
      </c>
      <c r="R177" s="20"/>
      <c r="S177" s="19">
        <v>0</v>
      </c>
      <c r="T177" s="20"/>
      <c r="U177" s="19">
        <v>0</v>
      </c>
      <c r="V177" s="20"/>
      <c r="W177" s="14">
        <v>0</v>
      </c>
      <c r="X177" s="121">
        <v>0</v>
      </c>
      <c r="Y177" s="130">
        <f t="shared" si="46"/>
        <v>0</v>
      </c>
      <c r="Z177" s="131"/>
      <c r="AA177" s="13" t="s">
        <v>195</v>
      </c>
      <c r="AB177" s="154"/>
      <c r="AC177" s="155"/>
      <c r="AD177" s="16">
        <f t="shared" si="49"/>
        <v>0</v>
      </c>
      <c r="AE177" s="98"/>
      <c r="AF177" s="99"/>
      <c r="AG177" s="99"/>
      <c r="AH177" s="99"/>
      <c r="AI177" s="99"/>
      <c r="AJ177" s="99"/>
      <c r="AK177" s="8"/>
      <c r="AL177" s="8"/>
    </row>
    <row r="178" spans="2:40" s="12" customFormat="1" ht="123.75" customHeight="1" x14ac:dyDescent="2.35">
      <c r="B178" s="13" t="s">
        <v>196</v>
      </c>
      <c r="C178" s="19">
        <v>0</v>
      </c>
      <c r="D178" s="20"/>
      <c r="E178" s="19">
        <v>0</v>
      </c>
      <c r="F178" s="20"/>
      <c r="G178" s="19">
        <v>0</v>
      </c>
      <c r="H178" s="20"/>
      <c r="I178" s="19">
        <v>0</v>
      </c>
      <c r="J178" s="20"/>
      <c r="K178" s="19">
        <v>0</v>
      </c>
      <c r="L178" s="20"/>
      <c r="M178" s="19">
        <v>0</v>
      </c>
      <c r="N178" s="20"/>
      <c r="O178" s="19">
        <v>0</v>
      </c>
      <c r="P178" s="20"/>
      <c r="Q178" s="19">
        <v>0</v>
      </c>
      <c r="R178" s="20"/>
      <c r="S178" s="19">
        <v>0</v>
      </c>
      <c r="T178" s="20"/>
      <c r="U178" s="19">
        <v>0</v>
      </c>
      <c r="V178" s="20"/>
      <c r="W178" s="14">
        <v>0</v>
      </c>
      <c r="X178" s="121">
        <v>0</v>
      </c>
      <c r="Y178" s="130">
        <f t="shared" si="46"/>
        <v>0</v>
      </c>
      <c r="Z178" s="131"/>
      <c r="AA178" s="13" t="s">
        <v>196</v>
      </c>
      <c r="AB178" s="154"/>
      <c r="AC178" s="155"/>
      <c r="AD178" s="16">
        <f t="shared" si="49"/>
        <v>0</v>
      </c>
      <c r="AE178" s="98"/>
      <c r="AF178" s="99"/>
      <c r="AG178" s="156"/>
      <c r="AH178" s="156"/>
      <c r="AI178" s="156"/>
      <c r="AJ178" s="99"/>
      <c r="AK178" s="8"/>
      <c r="AL178" s="8"/>
    </row>
    <row r="179" spans="2:40" s="12" customFormat="1" ht="127.5" customHeight="1" x14ac:dyDescent="2.35">
      <c r="B179" s="13" t="s">
        <v>197</v>
      </c>
      <c r="C179" s="19">
        <v>0</v>
      </c>
      <c r="D179" s="20"/>
      <c r="E179" s="19">
        <v>0</v>
      </c>
      <c r="F179" s="20"/>
      <c r="G179" s="19">
        <v>0</v>
      </c>
      <c r="H179" s="20"/>
      <c r="I179" s="19">
        <v>0</v>
      </c>
      <c r="J179" s="20"/>
      <c r="K179" s="19">
        <v>0</v>
      </c>
      <c r="L179" s="20"/>
      <c r="M179" s="19">
        <v>0</v>
      </c>
      <c r="N179" s="20"/>
      <c r="O179" s="19">
        <v>0</v>
      </c>
      <c r="P179" s="20"/>
      <c r="Q179" s="19">
        <v>0</v>
      </c>
      <c r="R179" s="20"/>
      <c r="S179" s="19">
        <v>0</v>
      </c>
      <c r="T179" s="20"/>
      <c r="U179" s="19">
        <v>0</v>
      </c>
      <c r="V179" s="20"/>
      <c r="W179" s="14">
        <v>0</v>
      </c>
      <c r="X179" s="121">
        <v>0</v>
      </c>
      <c r="Y179" s="130">
        <f t="shared" si="46"/>
        <v>0</v>
      </c>
      <c r="Z179" s="131"/>
      <c r="AA179" s="13" t="s">
        <v>197</v>
      </c>
      <c r="AB179" s="154"/>
      <c r="AC179" s="155"/>
      <c r="AD179" s="16">
        <f t="shared" si="49"/>
        <v>0</v>
      </c>
      <c r="AE179" s="98"/>
      <c r="AF179" s="99"/>
      <c r="AG179" s="99"/>
      <c r="AH179" s="99"/>
      <c r="AI179" s="99"/>
      <c r="AJ179" s="99"/>
      <c r="AK179" s="8"/>
      <c r="AL179" s="8"/>
    </row>
    <row r="180" spans="2:40" s="12" customFormat="1" ht="135" customHeight="1" x14ac:dyDescent="2.35">
      <c r="B180" s="13" t="s">
        <v>198</v>
      </c>
      <c r="C180" s="19">
        <v>0</v>
      </c>
      <c r="D180" s="20"/>
      <c r="E180" s="19">
        <v>0</v>
      </c>
      <c r="F180" s="20"/>
      <c r="G180" s="19">
        <v>0</v>
      </c>
      <c r="H180" s="20"/>
      <c r="I180" s="19">
        <v>0</v>
      </c>
      <c r="J180" s="20"/>
      <c r="K180" s="19">
        <v>0</v>
      </c>
      <c r="L180" s="20"/>
      <c r="M180" s="19">
        <v>0</v>
      </c>
      <c r="N180" s="20"/>
      <c r="O180" s="19">
        <v>0</v>
      </c>
      <c r="P180" s="20"/>
      <c r="Q180" s="19">
        <v>0</v>
      </c>
      <c r="R180" s="20"/>
      <c r="S180" s="19">
        <v>0</v>
      </c>
      <c r="T180" s="20"/>
      <c r="U180" s="19">
        <v>0</v>
      </c>
      <c r="V180" s="20"/>
      <c r="W180" s="14">
        <v>0</v>
      </c>
      <c r="X180" s="121">
        <v>0</v>
      </c>
      <c r="Y180" s="130">
        <f t="shared" si="46"/>
        <v>0</v>
      </c>
      <c r="Z180" s="131"/>
      <c r="AA180" s="13" t="s">
        <v>198</v>
      </c>
      <c r="AB180" s="154"/>
      <c r="AC180" s="155"/>
      <c r="AD180" s="16">
        <f t="shared" si="49"/>
        <v>0</v>
      </c>
      <c r="AE180" s="98"/>
      <c r="AF180" s="99"/>
      <c r="AG180" s="99"/>
      <c r="AH180" s="99"/>
      <c r="AI180" s="99"/>
      <c r="AJ180" s="99"/>
      <c r="AK180" s="8"/>
      <c r="AL180" s="8"/>
    </row>
    <row r="181" spans="2:40" s="12" customFormat="1" ht="123.75" customHeight="1" x14ac:dyDescent="2.35">
      <c r="B181" s="13" t="s">
        <v>199</v>
      </c>
      <c r="C181" s="19">
        <v>0</v>
      </c>
      <c r="D181" s="20"/>
      <c r="E181" s="19">
        <v>0</v>
      </c>
      <c r="F181" s="20"/>
      <c r="G181" s="19">
        <v>0</v>
      </c>
      <c r="H181" s="20"/>
      <c r="I181" s="19">
        <v>0</v>
      </c>
      <c r="J181" s="20"/>
      <c r="K181" s="19">
        <v>0</v>
      </c>
      <c r="L181" s="20"/>
      <c r="M181" s="19">
        <v>0</v>
      </c>
      <c r="N181" s="20"/>
      <c r="O181" s="19">
        <v>0</v>
      </c>
      <c r="P181" s="20"/>
      <c r="Q181" s="19">
        <v>0</v>
      </c>
      <c r="R181" s="20"/>
      <c r="S181" s="19">
        <v>0</v>
      </c>
      <c r="T181" s="20"/>
      <c r="U181" s="19">
        <v>0</v>
      </c>
      <c r="V181" s="20"/>
      <c r="W181" s="14">
        <v>0</v>
      </c>
      <c r="X181" s="121">
        <v>0</v>
      </c>
      <c r="Y181" s="130">
        <f t="shared" si="46"/>
        <v>0</v>
      </c>
      <c r="Z181" s="131"/>
      <c r="AA181" s="13" t="s">
        <v>199</v>
      </c>
      <c r="AB181" s="154"/>
      <c r="AC181" s="155"/>
      <c r="AD181" s="16">
        <f t="shared" si="49"/>
        <v>0</v>
      </c>
      <c r="AE181" s="98"/>
      <c r="AF181" s="99"/>
      <c r="AG181" s="99"/>
      <c r="AH181" s="99"/>
      <c r="AI181" s="99"/>
      <c r="AJ181" s="99"/>
      <c r="AK181" s="8"/>
      <c r="AL181" s="8"/>
    </row>
    <row r="182" spans="2:40" s="12" customFormat="1" ht="123.75" customHeight="1" x14ac:dyDescent="2.35">
      <c r="B182" s="13" t="s">
        <v>213</v>
      </c>
      <c r="C182" s="19">
        <v>0</v>
      </c>
      <c r="D182" s="20"/>
      <c r="E182" s="19">
        <v>0</v>
      </c>
      <c r="F182" s="20"/>
      <c r="G182" s="19">
        <v>0</v>
      </c>
      <c r="H182" s="20"/>
      <c r="I182" s="19">
        <v>0</v>
      </c>
      <c r="J182" s="20"/>
      <c r="K182" s="19">
        <v>0</v>
      </c>
      <c r="L182" s="20"/>
      <c r="M182" s="19">
        <v>0</v>
      </c>
      <c r="N182" s="20"/>
      <c r="O182" s="19">
        <v>0</v>
      </c>
      <c r="P182" s="20"/>
      <c r="Q182" s="19">
        <v>0</v>
      </c>
      <c r="R182" s="20"/>
      <c r="S182" s="19">
        <v>0</v>
      </c>
      <c r="T182" s="20"/>
      <c r="U182" s="19">
        <v>0</v>
      </c>
      <c r="V182" s="20"/>
      <c r="W182" s="14">
        <v>0</v>
      </c>
      <c r="X182" s="121">
        <v>0</v>
      </c>
      <c r="Y182" s="130">
        <f t="shared" si="46"/>
        <v>0</v>
      </c>
      <c r="Z182" s="131"/>
      <c r="AA182" s="13" t="s">
        <v>213</v>
      </c>
      <c r="AB182" s="126" t="s">
        <v>214</v>
      </c>
      <c r="AC182" s="127"/>
      <c r="AD182" s="16">
        <f t="shared" si="49"/>
        <v>0</v>
      </c>
      <c r="AE182" s="98"/>
      <c r="AF182" s="99"/>
      <c r="AG182" s="99"/>
      <c r="AH182" s="99"/>
      <c r="AI182" s="99"/>
      <c r="AJ182" s="99"/>
      <c r="AK182" s="8"/>
      <c r="AL182" s="8"/>
    </row>
    <row r="183" spans="2:40" s="12" customFormat="1" ht="123.75" customHeight="1" x14ac:dyDescent="2.35">
      <c r="B183" s="13" t="s">
        <v>200</v>
      </c>
      <c r="C183" s="19">
        <v>0</v>
      </c>
      <c r="D183" s="20"/>
      <c r="E183" s="19">
        <v>0</v>
      </c>
      <c r="F183" s="20"/>
      <c r="G183" s="19">
        <v>0</v>
      </c>
      <c r="H183" s="20"/>
      <c r="I183" s="19">
        <v>0</v>
      </c>
      <c r="J183" s="20"/>
      <c r="K183" s="19">
        <v>0</v>
      </c>
      <c r="L183" s="20"/>
      <c r="M183" s="19">
        <v>0</v>
      </c>
      <c r="N183" s="20"/>
      <c r="O183" s="19">
        <v>0</v>
      </c>
      <c r="P183" s="20"/>
      <c r="Q183" s="19">
        <v>0</v>
      </c>
      <c r="R183" s="20"/>
      <c r="S183" s="19">
        <v>0</v>
      </c>
      <c r="T183" s="20"/>
      <c r="U183" s="19">
        <v>0</v>
      </c>
      <c r="V183" s="20"/>
      <c r="W183" s="14">
        <v>0</v>
      </c>
      <c r="X183" s="121">
        <v>0</v>
      </c>
      <c r="Y183" s="130">
        <f t="shared" si="46"/>
        <v>0</v>
      </c>
      <c r="Z183" s="131"/>
      <c r="AA183" s="13" t="s">
        <v>200</v>
      </c>
      <c r="AB183" s="154"/>
      <c r="AC183" s="155"/>
      <c r="AD183" s="16">
        <f t="shared" si="49"/>
        <v>0</v>
      </c>
      <c r="AE183" s="98"/>
      <c r="AF183" s="99"/>
      <c r="AG183" s="99"/>
      <c r="AH183" s="99"/>
      <c r="AI183" s="99"/>
      <c r="AJ183" s="99"/>
      <c r="AK183" s="8"/>
      <c r="AL183" s="8"/>
    </row>
    <row r="184" spans="2:40" s="12" customFormat="1" ht="123.75" customHeight="1" x14ac:dyDescent="2.35">
      <c r="B184" s="13" t="s">
        <v>201</v>
      </c>
      <c r="C184" s="19">
        <v>0</v>
      </c>
      <c r="D184" s="20"/>
      <c r="E184" s="19">
        <v>0</v>
      </c>
      <c r="F184" s="20"/>
      <c r="G184" s="19">
        <v>0</v>
      </c>
      <c r="H184" s="20"/>
      <c r="I184" s="19">
        <v>0</v>
      </c>
      <c r="J184" s="20"/>
      <c r="K184" s="19">
        <v>0</v>
      </c>
      <c r="L184" s="20"/>
      <c r="M184" s="19">
        <v>0</v>
      </c>
      <c r="N184" s="20"/>
      <c r="O184" s="19">
        <v>0</v>
      </c>
      <c r="P184" s="20"/>
      <c r="Q184" s="19">
        <v>0</v>
      </c>
      <c r="R184" s="20"/>
      <c r="S184" s="19">
        <v>0</v>
      </c>
      <c r="T184" s="20"/>
      <c r="U184" s="19">
        <v>0</v>
      </c>
      <c r="V184" s="20"/>
      <c r="W184" s="14">
        <v>0</v>
      </c>
      <c r="X184" s="121">
        <v>0</v>
      </c>
      <c r="Y184" s="130">
        <f t="shared" si="46"/>
        <v>0</v>
      </c>
      <c r="Z184" s="131"/>
      <c r="AA184" s="13" t="s">
        <v>201</v>
      </c>
      <c r="AB184" s="154"/>
      <c r="AC184" s="155"/>
      <c r="AD184" s="16">
        <f t="shared" si="49"/>
        <v>0</v>
      </c>
      <c r="AE184" s="98"/>
      <c r="AF184" s="99"/>
      <c r="AG184" s="99"/>
      <c r="AH184" s="99"/>
      <c r="AI184" s="99"/>
      <c r="AJ184" s="99"/>
      <c r="AK184" s="8"/>
      <c r="AL184" s="8"/>
    </row>
    <row r="185" spans="2:40" s="12" customFormat="1" ht="123.75" customHeight="1" x14ac:dyDescent="2.35">
      <c r="B185" s="13" t="s">
        <v>202</v>
      </c>
      <c r="C185" s="19">
        <v>0</v>
      </c>
      <c r="D185" s="20"/>
      <c r="E185" s="19">
        <v>0</v>
      </c>
      <c r="F185" s="20"/>
      <c r="G185" s="19">
        <v>0</v>
      </c>
      <c r="H185" s="20"/>
      <c r="I185" s="19">
        <v>0</v>
      </c>
      <c r="J185" s="20"/>
      <c r="K185" s="19">
        <v>0</v>
      </c>
      <c r="L185" s="20"/>
      <c r="M185" s="19">
        <v>0</v>
      </c>
      <c r="N185" s="20"/>
      <c r="O185" s="19">
        <v>0</v>
      </c>
      <c r="P185" s="20"/>
      <c r="Q185" s="19">
        <v>0</v>
      </c>
      <c r="R185" s="20"/>
      <c r="S185" s="19">
        <v>0</v>
      </c>
      <c r="T185" s="20"/>
      <c r="U185" s="19">
        <v>0</v>
      </c>
      <c r="V185" s="20"/>
      <c r="W185" s="14">
        <v>0</v>
      </c>
      <c r="X185" s="121">
        <v>0</v>
      </c>
      <c r="Y185" s="130">
        <f t="shared" si="46"/>
        <v>0</v>
      </c>
      <c r="Z185" s="131"/>
      <c r="AA185" s="13" t="s">
        <v>202</v>
      </c>
      <c r="AB185" s="154"/>
      <c r="AC185" s="155"/>
      <c r="AD185" s="16">
        <f t="shared" si="49"/>
        <v>0</v>
      </c>
      <c r="AE185" s="98"/>
      <c r="AF185" s="99"/>
      <c r="AG185" s="99"/>
      <c r="AH185" s="99"/>
      <c r="AI185" s="99"/>
      <c r="AJ185" s="99"/>
      <c r="AK185" s="8"/>
      <c r="AL185" s="8"/>
    </row>
    <row r="186" spans="2:40" s="12" customFormat="1" ht="123.75" customHeight="1" x14ac:dyDescent="2.35">
      <c r="B186" s="13" t="s">
        <v>203</v>
      </c>
      <c r="C186" s="19">
        <v>0</v>
      </c>
      <c r="D186" s="20"/>
      <c r="E186" s="19">
        <v>0</v>
      </c>
      <c r="F186" s="20"/>
      <c r="G186" s="19">
        <v>0</v>
      </c>
      <c r="H186" s="20"/>
      <c r="I186" s="19">
        <v>0</v>
      </c>
      <c r="J186" s="20"/>
      <c r="K186" s="19">
        <v>0</v>
      </c>
      <c r="L186" s="20"/>
      <c r="M186" s="19">
        <v>0</v>
      </c>
      <c r="N186" s="20"/>
      <c r="O186" s="19">
        <v>0</v>
      </c>
      <c r="P186" s="20"/>
      <c r="Q186" s="19">
        <v>0</v>
      </c>
      <c r="R186" s="20"/>
      <c r="S186" s="19">
        <v>0</v>
      </c>
      <c r="T186" s="20"/>
      <c r="U186" s="19">
        <v>0</v>
      </c>
      <c r="V186" s="20"/>
      <c r="W186" s="14">
        <v>0</v>
      </c>
      <c r="X186" s="121">
        <v>0</v>
      </c>
      <c r="Y186" s="130">
        <f t="shared" si="46"/>
        <v>0</v>
      </c>
      <c r="Z186" s="131"/>
      <c r="AA186" s="13" t="s">
        <v>203</v>
      </c>
      <c r="AB186" s="154"/>
      <c r="AC186" s="155"/>
      <c r="AD186" s="16">
        <f t="shared" si="49"/>
        <v>0</v>
      </c>
      <c r="AE186" s="100"/>
      <c r="AF186" s="99"/>
      <c r="AG186" s="99"/>
      <c r="AH186" s="99"/>
      <c r="AI186" s="99"/>
      <c r="AJ186" s="99"/>
      <c r="AK186" s="8"/>
      <c r="AL186" s="8"/>
    </row>
    <row r="187" spans="2:40" s="12" customFormat="1" ht="123.75" customHeight="1" x14ac:dyDescent="2.35">
      <c r="B187" s="13" t="s">
        <v>204</v>
      </c>
      <c r="C187" s="19">
        <v>0</v>
      </c>
      <c r="D187" s="20"/>
      <c r="E187" s="19">
        <v>0</v>
      </c>
      <c r="F187" s="20"/>
      <c r="G187" s="19">
        <v>0</v>
      </c>
      <c r="H187" s="20"/>
      <c r="I187" s="19">
        <v>0</v>
      </c>
      <c r="J187" s="20"/>
      <c r="K187" s="19">
        <v>0</v>
      </c>
      <c r="L187" s="20"/>
      <c r="M187" s="19">
        <v>0</v>
      </c>
      <c r="N187" s="20"/>
      <c r="O187" s="19">
        <v>0</v>
      </c>
      <c r="P187" s="20"/>
      <c r="Q187" s="19">
        <v>0</v>
      </c>
      <c r="R187" s="20"/>
      <c r="S187" s="19">
        <v>0</v>
      </c>
      <c r="T187" s="20"/>
      <c r="U187" s="19">
        <v>0</v>
      </c>
      <c r="V187" s="20"/>
      <c r="W187" s="14">
        <v>0</v>
      </c>
      <c r="X187" s="121">
        <v>0</v>
      </c>
      <c r="Y187" s="130">
        <f t="shared" si="46"/>
        <v>0</v>
      </c>
      <c r="Z187" s="131"/>
      <c r="AA187" s="13" t="s">
        <v>204</v>
      </c>
      <c r="AB187" s="154"/>
      <c r="AC187" s="155"/>
      <c r="AD187" s="16">
        <f t="shared" si="49"/>
        <v>0</v>
      </c>
      <c r="AE187" s="100"/>
      <c r="AF187" s="99"/>
      <c r="AG187" s="99"/>
      <c r="AH187" s="99"/>
      <c r="AI187" s="99"/>
      <c r="AJ187" s="99"/>
      <c r="AK187" s="8"/>
      <c r="AL187" s="8"/>
    </row>
    <row r="188" spans="2:40" ht="123.75" customHeight="1" x14ac:dyDescent="2.35">
      <c r="B188" s="79" t="s">
        <v>107</v>
      </c>
      <c r="C188" s="142" t="s">
        <v>2</v>
      </c>
      <c r="D188" s="143"/>
      <c r="E188" s="142" t="s">
        <v>3</v>
      </c>
      <c r="F188" s="143"/>
      <c r="G188" s="142" t="s">
        <v>4</v>
      </c>
      <c r="H188" s="143"/>
      <c r="I188" s="142" t="s">
        <v>5</v>
      </c>
      <c r="J188" s="143"/>
      <c r="K188" s="142" t="s">
        <v>6</v>
      </c>
      <c r="L188" s="143"/>
      <c r="M188" s="142" t="s">
        <v>8</v>
      </c>
      <c r="N188" s="143"/>
      <c r="O188" s="142" t="s">
        <v>9</v>
      </c>
      <c r="P188" s="143"/>
      <c r="Q188" s="142" t="s">
        <v>10</v>
      </c>
      <c r="R188" s="143"/>
      <c r="S188" s="142" t="s">
        <v>11</v>
      </c>
      <c r="T188" s="143"/>
      <c r="U188" s="142" t="s">
        <v>12</v>
      </c>
      <c r="V188" s="143"/>
      <c r="W188" s="9" t="s">
        <v>13</v>
      </c>
      <c r="X188" s="118"/>
      <c r="Y188" s="146" t="s">
        <v>14</v>
      </c>
      <c r="Z188" s="147"/>
      <c r="AA188" s="79" t="s">
        <v>107</v>
      </c>
      <c r="AB188" s="148"/>
      <c r="AC188" s="149"/>
      <c r="AD188" s="6" t="s">
        <v>17</v>
      </c>
      <c r="AE188" s="7"/>
      <c r="AK188" s="8"/>
      <c r="AL188" s="8"/>
    </row>
    <row r="189" spans="2:40" ht="123.75" customHeight="1" x14ac:dyDescent="2.35">
      <c r="B189" s="15" t="s">
        <v>205</v>
      </c>
      <c r="C189" s="130">
        <v>0</v>
      </c>
      <c r="D189" s="131"/>
      <c r="E189" s="130">
        <v>0</v>
      </c>
      <c r="F189" s="131"/>
      <c r="G189" s="130">
        <v>0</v>
      </c>
      <c r="H189" s="131"/>
      <c r="I189" s="130">
        <v>0</v>
      </c>
      <c r="J189" s="131"/>
      <c r="K189" s="130">
        <v>0</v>
      </c>
      <c r="L189" s="131"/>
      <c r="M189" s="130">
        <v>0</v>
      </c>
      <c r="N189" s="131"/>
      <c r="O189" s="130">
        <v>0</v>
      </c>
      <c r="P189" s="131"/>
      <c r="Q189" s="130">
        <v>0</v>
      </c>
      <c r="R189" s="131"/>
      <c r="S189" s="130">
        <v>0</v>
      </c>
      <c r="T189" s="131"/>
      <c r="U189" s="130">
        <v>0</v>
      </c>
      <c r="V189" s="131"/>
      <c r="W189" s="14">
        <v>0</v>
      </c>
      <c r="X189" s="121"/>
      <c r="Y189" s="130">
        <f>SUM(C189:W189)</f>
        <v>0</v>
      </c>
      <c r="Z189" s="131"/>
      <c r="AA189" s="15" t="s">
        <v>205</v>
      </c>
      <c r="AB189" s="152"/>
      <c r="AC189" s="153"/>
      <c r="AD189" s="16">
        <f>X189</f>
        <v>0</v>
      </c>
      <c r="AE189" s="7"/>
      <c r="AK189" s="8"/>
      <c r="AL189" s="8"/>
    </row>
    <row r="190" spans="2:40" s="2" customFormat="1" ht="123.75" customHeight="1" x14ac:dyDescent="2.35">
      <c r="B190" s="79" t="s">
        <v>206</v>
      </c>
      <c r="C190" s="142" t="s">
        <v>2</v>
      </c>
      <c r="D190" s="143"/>
      <c r="E190" s="142" t="s">
        <v>3</v>
      </c>
      <c r="F190" s="143"/>
      <c r="G190" s="142" t="s">
        <v>4</v>
      </c>
      <c r="H190" s="143"/>
      <c r="I190" s="142" t="s">
        <v>5</v>
      </c>
      <c r="J190" s="143"/>
      <c r="K190" s="142" t="s">
        <v>6</v>
      </c>
      <c r="L190" s="143"/>
      <c r="M190" s="142" t="s">
        <v>8</v>
      </c>
      <c r="N190" s="143"/>
      <c r="O190" s="142" t="s">
        <v>9</v>
      </c>
      <c r="P190" s="143"/>
      <c r="Q190" s="142" t="s">
        <v>10</v>
      </c>
      <c r="R190" s="143"/>
      <c r="S190" s="142" t="s">
        <v>11</v>
      </c>
      <c r="T190" s="143"/>
      <c r="U190" s="142" t="s">
        <v>12</v>
      </c>
      <c r="V190" s="143"/>
      <c r="W190" s="9" t="s">
        <v>13</v>
      </c>
      <c r="X190" s="118"/>
      <c r="Y190" s="146" t="s">
        <v>14</v>
      </c>
      <c r="Z190" s="147"/>
      <c r="AA190" s="79" t="s">
        <v>206</v>
      </c>
      <c r="AB190" s="148"/>
      <c r="AC190" s="149"/>
      <c r="AD190" s="6" t="s">
        <v>17</v>
      </c>
      <c r="AE190" s="7"/>
      <c r="AF190" s="99"/>
      <c r="AG190" s="99"/>
      <c r="AH190" s="99"/>
      <c r="AI190" s="99"/>
      <c r="AJ190" s="99"/>
      <c r="AK190" s="8"/>
      <c r="AL190" s="8"/>
      <c r="AM190" s="12"/>
      <c r="AN190" s="12"/>
    </row>
    <row r="191" spans="2:40" ht="123.75" customHeight="1" x14ac:dyDescent="2.35">
      <c r="B191" s="13" t="s">
        <v>207</v>
      </c>
      <c r="C191" s="19">
        <v>0</v>
      </c>
      <c r="D191" s="20"/>
      <c r="E191" s="19">
        <v>0</v>
      </c>
      <c r="F191" s="20"/>
      <c r="G191" s="19">
        <v>0</v>
      </c>
      <c r="H191" s="20"/>
      <c r="I191" s="19">
        <v>0</v>
      </c>
      <c r="J191" s="20"/>
      <c r="K191" s="19">
        <v>0</v>
      </c>
      <c r="L191" s="20"/>
      <c r="M191" s="19">
        <v>0</v>
      </c>
      <c r="N191" s="20"/>
      <c r="O191" s="19">
        <v>0</v>
      </c>
      <c r="P191" s="20"/>
      <c r="Q191" s="19">
        <v>0</v>
      </c>
      <c r="R191" s="20"/>
      <c r="S191" s="19">
        <v>0</v>
      </c>
      <c r="T191" s="20"/>
      <c r="U191" s="19">
        <v>0</v>
      </c>
      <c r="V191" s="20"/>
      <c r="W191" s="14">
        <v>0</v>
      </c>
      <c r="X191" s="123">
        <v>0</v>
      </c>
      <c r="Y191" s="130">
        <f>SUM(C191:W191)</f>
        <v>0</v>
      </c>
      <c r="Z191" s="131"/>
      <c r="AA191" s="68" t="s">
        <v>207</v>
      </c>
      <c r="AB191" s="150"/>
      <c r="AC191" s="151"/>
      <c r="AD191" s="16">
        <f>X191</f>
        <v>0</v>
      </c>
      <c r="AE191" s="17"/>
      <c r="AM191" s="2"/>
      <c r="AN191" s="2"/>
    </row>
    <row r="192" spans="2:40" s="2" customFormat="1" ht="165" customHeight="1" x14ac:dyDescent="2.35">
      <c r="B192" s="144" t="s">
        <v>208</v>
      </c>
      <c r="C192" s="142" t="s">
        <v>2</v>
      </c>
      <c r="D192" s="143"/>
      <c r="E192" s="142" t="s">
        <v>3</v>
      </c>
      <c r="F192" s="143"/>
      <c r="G192" s="142" t="s">
        <v>4</v>
      </c>
      <c r="H192" s="143"/>
      <c r="I192" s="142" t="s">
        <v>5</v>
      </c>
      <c r="J192" s="143"/>
      <c r="K192" s="142" t="s">
        <v>6</v>
      </c>
      <c r="L192" s="143"/>
      <c r="M192" s="142" t="s">
        <v>8</v>
      </c>
      <c r="N192" s="143"/>
      <c r="O192" s="142" t="s">
        <v>9</v>
      </c>
      <c r="P192" s="143"/>
      <c r="Q192" s="142" t="s">
        <v>10</v>
      </c>
      <c r="R192" s="143"/>
      <c r="S192" s="142" t="s">
        <v>11</v>
      </c>
      <c r="T192" s="143"/>
      <c r="U192" s="142" t="s">
        <v>12</v>
      </c>
      <c r="V192" s="143"/>
      <c r="W192" s="9" t="s">
        <v>13</v>
      </c>
      <c r="X192" s="118"/>
      <c r="Y192" s="137" t="s">
        <v>209</v>
      </c>
      <c r="Z192" s="138"/>
      <c r="AA192" s="139"/>
      <c r="AB192" s="101"/>
      <c r="AC192" s="101"/>
      <c r="AD192" s="102"/>
      <c r="AE192" s="17"/>
      <c r="AK192" s="3"/>
      <c r="AL192" s="3"/>
      <c r="AM192"/>
      <c r="AN192"/>
    </row>
    <row r="193" spans="2:40" s="106" customFormat="1" ht="255" x14ac:dyDescent="3.65">
      <c r="B193" s="145"/>
      <c r="C193" s="140">
        <v>8319500</v>
      </c>
      <c r="D193" s="141"/>
      <c r="E193" s="140">
        <v>10059900</v>
      </c>
      <c r="F193" s="141"/>
      <c r="G193" s="140">
        <v>10881150</v>
      </c>
      <c r="H193" s="141"/>
      <c r="I193" s="140">
        <v>11016520</v>
      </c>
      <c r="J193" s="141"/>
      <c r="K193" s="140">
        <v>5523300</v>
      </c>
      <c r="L193" s="141"/>
      <c r="M193" s="140">
        <v>8189250</v>
      </c>
      <c r="N193" s="141"/>
      <c r="O193" s="140">
        <v>5946240</v>
      </c>
      <c r="P193" s="141"/>
      <c r="Q193" s="140">
        <v>7096050</v>
      </c>
      <c r="R193" s="141"/>
      <c r="S193" s="140">
        <v>14518700</v>
      </c>
      <c r="T193" s="141"/>
      <c r="U193" s="140">
        <v>12829220</v>
      </c>
      <c r="V193" s="141"/>
      <c r="W193" s="103">
        <v>8463700</v>
      </c>
      <c r="X193" s="124"/>
      <c r="Y193" s="132">
        <f>SUM(C193:W193)</f>
        <v>102843530</v>
      </c>
      <c r="Z193" s="133"/>
      <c r="AA193" s="134"/>
      <c r="AB193" s="104"/>
      <c r="AC193" s="104"/>
      <c r="AD193" s="105"/>
      <c r="AE193" s="102"/>
      <c r="AF193" s="2"/>
      <c r="AG193" s="2"/>
      <c r="AH193" s="2"/>
      <c r="AI193" s="2"/>
      <c r="AJ193" s="2"/>
      <c r="AK193" s="3"/>
      <c r="AL193" s="3"/>
      <c r="AM193" s="2"/>
      <c r="AN193" s="2"/>
    </row>
    <row r="195" spans="2:40" x14ac:dyDescent="2.35">
      <c r="C195" s="135"/>
      <c r="D195" s="135"/>
      <c r="O195" s="136"/>
      <c r="P195" s="136"/>
      <c r="R195" s="108"/>
      <c r="AA195" s="109"/>
    </row>
    <row r="196" spans="2:40" x14ac:dyDescent="2.35">
      <c r="AA196" s="109"/>
    </row>
  </sheetData>
  <mergeCells count="342">
    <mergeCell ref="Q2:R2"/>
    <mergeCell ref="S2:T2"/>
    <mergeCell ref="U2:V2"/>
    <mergeCell ref="W2:W3"/>
    <mergeCell ref="Y2:Y3"/>
    <mergeCell ref="Z2:Z3"/>
    <mergeCell ref="B1:AD1"/>
    <mergeCell ref="B2:B3"/>
    <mergeCell ref="C2:D2"/>
    <mergeCell ref="E2:F2"/>
    <mergeCell ref="G2:H2"/>
    <mergeCell ref="I2:J2"/>
    <mergeCell ref="K2:L2"/>
    <mergeCell ref="M2:N2"/>
    <mergeCell ref="O2:P2"/>
    <mergeCell ref="AA2:AA3"/>
    <mergeCell ref="AB2:AC2"/>
    <mergeCell ref="X2:X3"/>
    <mergeCell ref="Z4:Z8"/>
    <mergeCell ref="AC4:AC8"/>
    <mergeCell ref="AF4:AJ6"/>
    <mergeCell ref="AK4:AL21"/>
    <mergeCell ref="AF7:AJ7"/>
    <mergeCell ref="AB10:AB13"/>
    <mergeCell ref="AC10:AC20"/>
    <mergeCell ref="AF10:AJ14"/>
    <mergeCell ref="AK24:AL59"/>
    <mergeCell ref="AF25:AJ25"/>
    <mergeCell ref="AB26:AC26"/>
    <mergeCell ref="AB27:AC28"/>
    <mergeCell ref="AF27:AJ27"/>
    <mergeCell ref="AF28:AJ28"/>
    <mergeCell ref="AB29:AC29"/>
    <mergeCell ref="AB15:AB20"/>
    <mergeCell ref="AF15:AJ15"/>
    <mergeCell ref="AB21:AC21"/>
    <mergeCell ref="AF21:AJ21"/>
    <mergeCell ref="AB22:AC22"/>
    <mergeCell ref="AF22:AJ22"/>
    <mergeCell ref="AB30:AC31"/>
    <mergeCell ref="AF30:AJ30"/>
    <mergeCell ref="AF31:AJ31"/>
    <mergeCell ref="AB32:AC32"/>
    <mergeCell ref="AB33:AC34"/>
    <mergeCell ref="AF33:AJ33"/>
    <mergeCell ref="AF34:AJ34"/>
    <mergeCell ref="AB23:AC23"/>
    <mergeCell ref="AB24:AC25"/>
    <mergeCell ref="AF24:AJ24"/>
    <mergeCell ref="C40:D40"/>
    <mergeCell ref="E40:F40"/>
    <mergeCell ref="G40:H40"/>
    <mergeCell ref="I40:J40"/>
    <mergeCell ref="K40:L40"/>
    <mergeCell ref="AB35:AC35"/>
    <mergeCell ref="AB36:AC37"/>
    <mergeCell ref="AF36:AJ36"/>
    <mergeCell ref="AF37:AJ37"/>
    <mergeCell ref="AB38:AC38"/>
    <mergeCell ref="AB39:AC39"/>
    <mergeCell ref="AB48:AC51"/>
    <mergeCell ref="AB54:AC54"/>
    <mergeCell ref="AB42:AC47"/>
    <mergeCell ref="AF42:AJ42"/>
    <mergeCell ref="AF47:AJ47"/>
    <mergeCell ref="M40:N40"/>
    <mergeCell ref="O40:P40"/>
    <mergeCell ref="Q40:R40"/>
    <mergeCell ref="S40:T40"/>
    <mergeCell ref="U40:V40"/>
    <mergeCell ref="AB40:AC40"/>
    <mergeCell ref="AB55:AC55"/>
    <mergeCell ref="AC57:AC58"/>
    <mergeCell ref="AB59:AC59"/>
    <mergeCell ref="B60:B61"/>
    <mergeCell ref="C60:D60"/>
    <mergeCell ref="E60:F60"/>
    <mergeCell ref="G60:H60"/>
    <mergeCell ref="I60:J60"/>
    <mergeCell ref="K60:L60"/>
    <mergeCell ref="Y60:Y61"/>
    <mergeCell ref="Z60:Z61"/>
    <mergeCell ref="AA60:AA61"/>
    <mergeCell ref="AB60:AC60"/>
    <mergeCell ref="AB62:AC67"/>
    <mergeCell ref="AF63:AJ63"/>
    <mergeCell ref="AF64:AJ64"/>
    <mergeCell ref="M60:N60"/>
    <mergeCell ref="O60:P60"/>
    <mergeCell ref="Q60:R60"/>
    <mergeCell ref="S60:T60"/>
    <mergeCell ref="U60:V60"/>
    <mergeCell ref="W60:W61"/>
    <mergeCell ref="Q70:R70"/>
    <mergeCell ref="S70:T70"/>
    <mergeCell ref="U70:V70"/>
    <mergeCell ref="AB70:AC70"/>
    <mergeCell ref="AB71:AC72"/>
    <mergeCell ref="AF71:AJ71"/>
    <mergeCell ref="AB68:AC68"/>
    <mergeCell ref="AB69:AC69"/>
    <mergeCell ref="C70:D70"/>
    <mergeCell ref="E70:F70"/>
    <mergeCell ref="G70:H70"/>
    <mergeCell ref="I70:J70"/>
    <mergeCell ref="K70:L70"/>
    <mergeCell ref="M70:N70"/>
    <mergeCell ref="O70:P70"/>
    <mergeCell ref="AF78:AJ78"/>
    <mergeCell ref="AF79:AJ79"/>
    <mergeCell ref="AB80:AC81"/>
    <mergeCell ref="AF80:AJ80"/>
    <mergeCell ref="AK80:AL86"/>
    <mergeCell ref="AF81:AJ81"/>
    <mergeCell ref="AB82:AC82"/>
    <mergeCell ref="AB83:AC83"/>
    <mergeCell ref="AB84:AC84"/>
    <mergeCell ref="AB85:AC85"/>
    <mergeCell ref="AK71:AL78"/>
    <mergeCell ref="AF72:AJ72"/>
    <mergeCell ref="AB73:AC73"/>
    <mergeCell ref="AB74:AC75"/>
    <mergeCell ref="AF74:AJ74"/>
    <mergeCell ref="AF75:AJ75"/>
    <mergeCell ref="AB76:AC77"/>
    <mergeCell ref="AF76:AJ76"/>
    <mergeCell ref="AF77:AJ77"/>
    <mergeCell ref="AB78:AC79"/>
    <mergeCell ref="AB86:AC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AB87:AC87"/>
    <mergeCell ref="AK87:AL112"/>
    <mergeCell ref="AB88:AC88"/>
    <mergeCell ref="AB90:AC90"/>
    <mergeCell ref="AB91:AC91"/>
    <mergeCell ref="AB92:AC92"/>
    <mergeCell ref="AB93:AC102"/>
    <mergeCell ref="AF93:AJ97"/>
    <mergeCell ref="K105:L105"/>
    <mergeCell ref="M105:N105"/>
    <mergeCell ref="O105:P105"/>
    <mergeCell ref="Q105:R105"/>
    <mergeCell ref="S105:T105"/>
    <mergeCell ref="AF98:AJ98"/>
    <mergeCell ref="AF100:AJ100"/>
    <mergeCell ref="AB103:AC103"/>
    <mergeCell ref="AF103:AJ107"/>
    <mergeCell ref="B104:AD104"/>
    <mergeCell ref="B105:B106"/>
    <mergeCell ref="C105:D105"/>
    <mergeCell ref="E105:F105"/>
    <mergeCell ref="G105:H105"/>
    <mergeCell ref="I105:J105"/>
    <mergeCell ref="AK113:AL137"/>
    <mergeCell ref="AF118:AJ118"/>
    <mergeCell ref="AF119:AJ119"/>
    <mergeCell ref="AB126:AC136"/>
    <mergeCell ref="AF126:AJ127"/>
    <mergeCell ref="AF129:AJ129"/>
    <mergeCell ref="U105:V105"/>
    <mergeCell ref="W105:W106"/>
    <mergeCell ref="Y105:Y106"/>
    <mergeCell ref="Z105:Z106"/>
    <mergeCell ref="AA105:AA106"/>
    <mergeCell ref="AB105:AC105"/>
    <mergeCell ref="C138:D138"/>
    <mergeCell ref="E138:F138"/>
    <mergeCell ref="G138:H138"/>
    <mergeCell ref="I138:J138"/>
    <mergeCell ref="K138:L138"/>
    <mergeCell ref="M138:N138"/>
    <mergeCell ref="AB107:AC111"/>
    <mergeCell ref="AF111:AJ111"/>
    <mergeCell ref="AB112:AC125"/>
    <mergeCell ref="AF112:AJ117"/>
    <mergeCell ref="O138:P138"/>
    <mergeCell ref="Q138:R138"/>
    <mergeCell ref="S138:T138"/>
    <mergeCell ref="U138:V138"/>
    <mergeCell ref="AB138:AC138"/>
    <mergeCell ref="AB139:AC140"/>
    <mergeCell ref="AF136:AJ136"/>
    <mergeCell ref="AB137:AC137"/>
    <mergeCell ref="AF137:AJ137"/>
    <mergeCell ref="M141:N141"/>
    <mergeCell ref="O141:P141"/>
    <mergeCell ref="Q141:R141"/>
    <mergeCell ref="S141:T141"/>
    <mergeCell ref="U141:V141"/>
    <mergeCell ref="AB141:AC141"/>
    <mergeCell ref="C141:D141"/>
    <mergeCell ref="E141:F141"/>
    <mergeCell ref="G141:H141"/>
    <mergeCell ref="I141:J141"/>
    <mergeCell ref="K141:L141"/>
    <mergeCell ref="AB142:AC152"/>
    <mergeCell ref="AB153:AC153"/>
    <mergeCell ref="B154:AD154"/>
    <mergeCell ref="B155:B156"/>
    <mergeCell ref="C155:D155"/>
    <mergeCell ref="E155:F155"/>
    <mergeCell ref="G155:H155"/>
    <mergeCell ref="I155:J155"/>
    <mergeCell ref="K155:L155"/>
    <mergeCell ref="Y155:Y156"/>
    <mergeCell ref="Z155:Z156"/>
    <mergeCell ref="AA155:AA156"/>
    <mergeCell ref="AB155:AC155"/>
    <mergeCell ref="AB157:AC162"/>
    <mergeCell ref="C163:D163"/>
    <mergeCell ref="E163:F163"/>
    <mergeCell ref="G163:H163"/>
    <mergeCell ref="I163:J163"/>
    <mergeCell ref="K163:L163"/>
    <mergeCell ref="M155:N155"/>
    <mergeCell ref="O155:P155"/>
    <mergeCell ref="Q155:R155"/>
    <mergeCell ref="S155:T155"/>
    <mergeCell ref="U155:V155"/>
    <mergeCell ref="W155:W156"/>
    <mergeCell ref="AF164:AJ167"/>
    <mergeCell ref="Y165:Z165"/>
    <mergeCell ref="Y166:Z166"/>
    <mergeCell ref="Y167:Z167"/>
    <mergeCell ref="Y168:Z168"/>
    <mergeCell ref="AF168:AJ168"/>
    <mergeCell ref="M163:N163"/>
    <mergeCell ref="O163:P163"/>
    <mergeCell ref="Q163:R163"/>
    <mergeCell ref="S163:T163"/>
    <mergeCell ref="U163:V163"/>
    <mergeCell ref="Y169:Z169"/>
    <mergeCell ref="Y170:Z170"/>
    <mergeCell ref="Y171:Z171"/>
    <mergeCell ref="Y172:Z172"/>
    <mergeCell ref="AB172:AC172"/>
    <mergeCell ref="Y173:Z173"/>
    <mergeCell ref="AB173:AC173"/>
    <mergeCell ref="Y163:Z163"/>
    <mergeCell ref="AB163:AC163"/>
    <mergeCell ref="Y164:Z164"/>
    <mergeCell ref="AB164:AC171"/>
    <mergeCell ref="Y177:Z177"/>
    <mergeCell ref="AB177:AC177"/>
    <mergeCell ref="Y178:Z178"/>
    <mergeCell ref="AB178:AC178"/>
    <mergeCell ref="AG178:AI178"/>
    <mergeCell ref="Y179:Z179"/>
    <mergeCell ref="AB179:AC179"/>
    <mergeCell ref="Y174:Z174"/>
    <mergeCell ref="AB174:AC174"/>
    <mergeCell ref="Y175:Z175"/>
    <mergeCell ref="AB175:AC175"/>
    <mergeCell ref="Y176:Z176"/>
    <mergeCell ref="AB176:AC176"/>
    <mergeCell ref="Y184:Z184"/>
    <mergeCell ref="AB184:AC184"/>
    <mergeCell ref="Y185:Z185"/>
    <mergeCell ref="AB185:AC185"/>
    <mergeCell ref="Y186:Z186"/>
    <mergeCell ref="AB186:AC186"/>
    <mergeCell ref="Y180:Z180"/>
    <mergeCell ref="AB180:AC180"/>
    <mergeCell ref="Y181:Z181"/>
    <mergeCell ref="AB181:AC181"/>
    <mergeCell ref="Y183:Z183"/>
    <mergeCell ref="AB183:AC183"/>
    <mergeCell ref="Y182:Z182"/>
    <mergeCell ref="Y187:Z187"/>
    <mergeCell ref="AB187:AC187"/>
    <mergeCell ref="C188:D188"/>
    <mergeCell ref="E188:F188"/>
    <mergeCell ref="G188:H188"/>
    <mergeCell ref="I188:J188"/>
    <mergeCell ref="K188:L188"/>
    <mergeCell ref="M188:N188"/>
    <mergeCell ref="O188:P188"/>
    <mergeCell ref="S188:T188"/>
    <mergeCell ref="U188:V188"/>
    <mergeCell ref="Y188:Z188"/>
    <mergeCell ref="AB188:AC188"/>
    <mergeCell ref="Q188:R188"/>
    <mergeCell ref="AB190:AC190"/>
    <mergeCell ref="Y191:Z191"/>
    <mergeCell ref="AB191:AC191"/>
    <mergeCell ref="Y189:Z189"/>
    <mergeCell ref="AB189:AC189"/>
    <mergeCell ref="C190:D190"/>
    <mergeCell ref="E190:F190"/>
    <mergeCell ref="G190:H190"/>
    <mergeCell ref="I190:J190"/>
    <mergeCell ref="K190:L190"/>
    <mergeCell ref="M190:N190"/>
    <mergeCell ref="O190:P190"/>
    <mergeCell ref="M189:N189"/>
    <mergeCell ref="O189:P189"/>
    <mergeCell ref="Q189:R189"/>
    <mergeCell ref="S189:T189"/>
    <mergeCell ref="U189:V189"/>
    <mergeCell ref="Y190:Z190"/>
    <mergeCell ref="C189:D189"/>
    <mergeCell ref="E189:F189"/>
    <mergeCell ref="G189:H189"/>
    <mergeCell ref="I189:J189"/>
    <mergeCell ref="K189:L189"/>
    <mergeCell ref="B192:B193"/>
    <mergeCell ref="C192:D192"/>
    <mergeCell ref="E192:F192"/>
    <mergeCell ref="G192:H192"/>
    <mergeCell ref="I192:J192"/>
    <mergeCell ref="K192:L192"/>
    <mergeCell ref="Q190:R190"/>
    <mergeCell ref="S190:T190"/>
    <mergeCell ref="U190:V190"/>
    <mergeCell ref="S193:T193"/>
    <mergeCell ref="U193:V193"/>
    <mergeCell ref="Y193:AA193"/>
    <mergeCell ref="C195:D195"/>
    <mergeCell ref="O195:P195"/>
    <mergeCell ref="Y192:AA192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M192:N192"/>
    <mergeCell ref="O192:P192"/>
    <mergeCell ref="Q192:R192"/>
    <mergeCell ref="S192:T192"/>
    <mergeCell ref="U192:V192"/>
  </mergeCells>
  <pageMargins left="1.1023622047244095" right="0.70866141732283472" top="0.74803149606299213" bottom="0.74803149606299213" header="0.31496062992125984" footer="0.31496062992125984"/>
  <pageSetup paperSize="5" scale="10" orientation="landscape" verticalDpi="0" r:id="rId1"/>
  <rowBreaks count="4" manualBreakCount="4">
    <brk id="39" min="1" max="40" man="1"/>
    <brk id="59" min="1" max="41" man="1"/>
    <brk id="103" min="1" max="40" man="1"/>
    <brk id="153" min="1" max="4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22 SEPTIEMBRE 2026</vt:lpstr>
      <vt:lpstr>23 SEPTIEMBRE 2026</vt:lpstr>
      <vt:lpstr>base_0</vt:lpstr>
      <vt:lpstr>'22 SEPTIEMBRE 2026'!Área_de_impresión</vt:lpstr>
      <vt:lpstr>'23 SEPTIEMBRE 2026'!Área_de_impresión</vt:lpstr>
      <vt:lpstr>base_0!Área_de_impresión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2026-09-23T16:05:10Z</cp:lastPrinted>
  <dcterms:created xsi:type="dcterms:W3CDTF">2015-06-05T18:19:34Z</dcterms:created>
  <dcterms:modified xsi:type="dcterms:W3CDTF">2026-09-23T16:46:45Z</dcterms:modified>
</cp:coreProperties>
</file>