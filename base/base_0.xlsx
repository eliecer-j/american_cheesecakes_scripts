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CAF420D7-B9D7-4B35-B53F-2519F899B78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base_0!$B$1:$AN$195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127" i="2" l="1"/>
  <c r="Y127" i="2"/>
  <c r="Z127" i="2"/>
  <c r="AD133" i="2"/>
  <c r="Y133" i="2"/>
  <c r="Z133" i="2"/>
  <c r="C138" i="2"/>
  <c r="Z164" i="2"/>
  <c r="Y164" i="2"/>
  <c r="Z163" i="2"/>
  <c r="Y163" i="2"/>
  <c r="Z162" i="2"/>
  <c r="Y162" i="2"/>
  <c r="Z161" i="2"/>
  <c r="Y161" i="2"/>
  <c r="Z160" i="2"/>
  <c r="Y160" i="2"/>
  <c r="Z159" i="2"/>
  <c r="Y159" i="2"/>
  <c r="Z154" i="2"/>
  <c r="Y154" i="2"/>
  <c r="Z153" i="2"/>
  <c r="Y153" i="2"/>
  <c r="Z152" i="2"/>
  <c r="Y152" i="2"/>
  <c r="Z151" i="2"/>
  <c r="Y151" i="2"/>
  <c r="Z150" i="2"/>
  <c r="Y150" i="2"/>
  <c r="Z149" i="2"/>
  <c r="Y149" i="2"/>
  <c r="Z148" i="2"/>
  <c r="Y148" i="2"/>
  <c r="Z147" i="2"/>
  <c r="Y147" i="2"/>
  <c r="Z146" i="2"/>
  <c r="Y146" i="2"/>
  <c r="Z145" i="2"/>
  <c r="Y145" i="2"/>
  <c r="Z144" i="2"/>
  <c r="Y144" i="2"/>
  <c r="Z142" i="2"/>
  <c r="Y142" i="2"/>
  <c r="Z141" i="2"/>
  <c r="Y141" i="2"/>
  <c r="Z139" i="2"/>
  <c r="Y139" i="2"/>
  <c r="Z137" i="2"/>
  <c r="Y137" i="2"/>
  <c r="Z136" i="2"/>
  <c r="Y136" i="2"/>
  <c r="Z135" i="2"/>
  <c r="Y135" i="2"/>
  <c r="Z134" i="2"/>
  <c r="Y134" i="2"/>
  <c r="Z132" i="2"/>
  <c r="Y132" i="2"/>
  <c r="Z131" i="2"/>
  <c r="Y131" i="2"/>
  <c r="Z130" i="2"/>
  <c r="Y130" i="2"/>
  <c r="Z129" i="2"/>
  <c r="Y129" i="2"/>
  <c r="Z128" i="2"/>
  <c r="Y128" i="2"/>
  <c r="Z126" i="2"/>
  <c r="Y126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4" i="2"/>
  <c r="Y114" i="2"/>
  <c r="Z113" i="2"/>
  <c r="Y113" i="2"/>
  <c r="Z112" i="2"/>
  <c r="Y112" i="2"/>
  <c r="Z110" i="2"/>
  <c r="Y110" i="2"/>
  <c r="Z109" i="2"/>
  <c r="Y109" i="2"/>
  <c r="Z108" i="2"/>
  <c r="Y108" i="2"/>
  <c r="Z107" i="2"/>
  <c r="Y107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2" i="2"/>
  <c r="Y92" i="2"/>
  <c r="Z91" i="2"/>
  <c r="Y91" i="2"/>
  <c r="Z90" i="2"/>
  <c r="Y90" i="2"/>
  <c r="Z88" i="2"/>
  <c r="Y88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6" i="2"/>
  <c r="Y76" i="2"/>
  <c r="Z75" i="2"/>
  <c r="Y75" i="2"/>
  <c r="Z74" i="2"/>
  <c r="Y74" i="2"/>
  <c r="Z72" i="2"/>
  <c r="Y72" i="2"/>
  <c r="Z71" i="2"/>
  <c r="Y71" i="2"/>
  <c r="Z68" i="2"/>
  <c r="Y68" i="2"/>
  <c r="Z67" i="2"/>
  <c r="Y67" i="2"/>
  <c r="Z66" i="2"/>
  <c r="Y66" i="2"/>
  <c r="Z65" i="2"/>
  <c r="Y65" i="2"/>
  <c r="Z64" i="2"/>
  <c r="Y64" i="2"/>
  <c r="Z63" i="2"/>
  <c r="Y63" i="2"/>
  <c r="Z62" i="2"/>
  <c r="Y62" i="2"/>
  <c r="Z58" i="2"/>
  <c r="Y58" i="2"/>
  <c r="Z57" i="2"/>
  <c r="Y57" i="2"/>
  <c r="Z56" i="2"/>
  <c r="Y56" i="2"/>
  <c r="Z55" i="2"/>
  <c r="Y55" i="2"/>
  <c r="Z53" i="2"/>
  <c r="Y53" i="2"/>
  <c r="Z52" i="2"/>
  <c r="Y52" i="2"/>
  <c r="Z51" i="2"/>
  <c r="Y51" i="2"/>
  <c r="Z50" i="2"/>
  <c r="Y50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Y4" i="2"/>
  <c r="Y184" i="2"/>
  <c r="AD184" i="2"/>
  <c r="AD10" i="2" l="1"/>
  <c r="AD8" i="2"/>
  <c r="AD5" i="2"/>
  <c r="W21" i="2"/>
  <c r="AD59" i="2"/>
  <c r="AD193" i="2"/>
  <c r="AD191" i="2"/>
  <c r="AD177" i="2"/>
  <c r="AD176" i="2"/>
  <c r="AD175" i="2"/>
  <c r="AD173" i="2"/>
  <c r="AD178" i="2"/>
  <c r="AD179" i="2"/>
  <c r="AD180" i="2"/>
  <c r="AD181" i="2"/>
  <c r="AD182" i="2"/>
  <c r="AD183" i="2"/>
  <c r="AD185" i="2"/>
  <c r="AD186" i="2"/>
  <c r="AD187" i="2"/>
  <c r="AD188" i="2"/>
  <c r="AD189" i="2"/>
  <c r="AD167" i="2"/>
  <c r="AD168" i="2"/>
  <c r="AD169" i="2"/>
  <c r="AD170" i="2"/>
  <c r="AD171" i="2"/>
  <c r="AD172" i="2"/>
  <c r="AD166" i="2"/>
  <c r="AD160" i="2"/>
  <c r="AD161" i="2"/>
  <c r="AD162" i="2"/>
  <c r="AD163" i="2"/>
  <c r="AD164" i="2"/>
  <c r="AD159" i="2"/>
  <c r="AD145" i="2"/>
  <c r="AD146" i="2"/>
  <c r="AD147" i="2"/>
  <c r="AD148" i="2"/>
  <c r="AD149" i="2"/>
  <c r="AD150" i="2"/>
  <c r="AD151" i="2"/>
  <c r="AD152" i="2"/>
  <c r="AD153" i="2"/>
  <c r="AD154" i="2"/>
  <c r="AD144" i="2"/>
  <c r="AD142" i="2"/>
  <c r="AD141" i="2"/>
  <c r="AD139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8" i="2"/>
  <c r="AD129" i="2"/>
  <c r="AD130" i="2"/>
  <c r="AD131" i="2"/>
  <c r="AD132" i="2"/>
  <c r="AD134" i="2"/>
  <c r="AD135" i="2"/>
  <c r="AD136" i="2"/>
  <c r="AD137" i="2"/>
  <c r="AD138" i="2"/>
  <c r="AD107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88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71" i="2"/>
  <c r="AD63" i="2"/>
  <c r="AD64" i="2"/>
  <c r="AD65" i="2"/>
  <c r="AD66" i="2"/>
  <c r="AD67" i="2"/>
  <c r="AD68" i="2"/>
  <c r="AD62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30" i="2" l="1"/>
  <c r="AF47" i="2"/>
  <c r="Y195" i="2"/>
  <c r="Y193" i="2"/>
  <c r="Y191" i="2"/>
  <c r="Y189" i="2"/>
  <c r="Y188" i="2"/>
  <c r="Y187" i="2"/>
  <c r="Y186" i="2"/>
  <c r="Y185" i="2"/>
  <c r="Y183" i="2"/>
  <c r="Y182" i="2"/>
  <c r="Y181" i="2"/>
  <c r="Y180" i="2"/>
  <c r="Y179" i="2"/>
  <c r="Y178" i="2"/>
  <c r="Y177" i="2"/>
  <c r="Y176" i="2"/>
  <c r="Y175" i="2"/>
  <c r="W174" i="2"/>
  <c r="U174" i="2"/>
  <c r="S174" i="2"/>
  <c r="Q174" i="2"/>
  <c r="O174" i="2"/>
  <c r="M174" i="2"/>
  <c r="K174" i="2"/>
  <c r="I174" i="2"/>
  <c r="G174" i="2"/>
  <c r="E174" i="2"/>
  <c r="C174" i="2"/>
  <c r="Y173" i="2"/>
  <c r="Y172" i="2"/>
  <c r="Y171" i="2"/>
  <c r="AF170" i="2"/>
  <c r="Y170" i="2"/>
  <c r="Y169" i="2"/>
  <c r="Y168" i="2"/>
  <c r="Y167" i="2"/>
  <c r="Y166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AF139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F118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F98" i="2"/>
  <c r="AK87" i="2"/>
  <c r="AB86" i="2"/>
  <c r="AF81" i="2"/>
  <c r="AF79" i="2"/>
  <c r="AF77" i="2"/>
  <c r="AF75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F72" i="2"/>
  <c r="AK71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F64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B58" i="2"/>
  <c r="AB57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Z4" i="2" s="1"/>
  <c r="C9" i="2"/>
  <c r="Y8" i="2"/>
  <c r="AB8" i="2" s="1"/>
  <c r="AF7" i="2"/>
  <c r="Y7" i="2"/>
  <c r="AB7" i="2" s="1"/>
  <c r="Y6" i="2"/>
  <c r="AB6" i="2" s="1"/>
  <c r="Y5" i="2"/>
  <c r="AB5" i="2" s="1"/>
  <c r="AK4" i="2"/>
  <c r="AB78" i="2" l="1"/>
  <c r="AB141" i="2"/>
  <c r="AB27" i="2"/>
  <c r="AB30" i="2"/>
  <c r="AB33" i="2"/>
  <c r="AB36" i="2"/>
  <c r="AB10" i="2"/>
  <c r="AB15" i="2"/>
  <c r="AB74" i="2"/>
  <c r="AB107" i="2"/>
  <c r="AB62" i="2"/>
  <c r="AB80" i="2"/>
  <c r="AB76" i="2"/>
  <c r="AC57" i="2"/>
  <c r="AB24" i="2"/>
  <c r="AB71" i="2"/>
  <c r="AB159" i="2"/>
  <c r="AB166" i="2"/>
  <c r="AB93" i="2"/>
  <c r="AB112" i="2"/>
  <c r="AB126" i="2"/>
  <c r="AB144" i="2"/>
  <c r="Y174" i="2"/>
  <c r="AC4" i="2"/>
  <c r="AB42" i="2"/>
  <c r="AC10" i="2" l="1"/>
</calcChain>
</file>

<file path=xl/sharedStrings.xml><?xml version="1.0" encoding="utf-8"?>
<sst xmlns="http://schemas.openxmlformats.org/spreadsheetml/2006/main" count="619" uniqueCount="219">
  <si>
    <t xml:space="preserve">       VENTAS DIARIAS POR PRODUCTO DEL 18,19,20 DE SEPTIEMBRE DEL 2026</t>
  </si>
  <si>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</si>
  <si>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</si>
  <si>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</si>
  <si>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</si>
  <si>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</si>
  <si>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</si>
  <si>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</si>
  <si>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</si>
  <si>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</si>
  <si>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</si>
  <si>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</si>
  <si>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</si>
  <si>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</si>
  <si>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</si>
  <si>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</si>
  <si>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</si>
  <si>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</si>
  <si>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</si>
  <si>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</si>
  <si>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</si>
  <si>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</si>
  <si>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</si>
  <si>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</si>
  <si>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</si>
  <si>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</si>
  <si>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</si>
  <si>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</si>
  <si>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</si>
  <si>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</si>
  <si>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</si>
  <si>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</si>
  <si>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</si>
  <si>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</si>
  <si>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</si>
  <si>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</si>
  <si>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</si>
  <si>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</si>
  <si>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</si>
  <si>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</si>
  <si>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</si>
  <si>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</si>
  <si>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</si>
  <si>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</si>
  <si>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</si>
  <si>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</si>
  <si>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</si>
  <si>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</si>
  <si>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</si>
  <si>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</si>
  <si>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</si>
  <si>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</si>
  <si>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</si>
  <si>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</si>
  <si>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</si>
  <si>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</si>
  <si>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</si>
  <si>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</si>
  <si>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</si>
  <si>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</si>
  <si>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</si>
  <si>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</si>
  <si>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</si>
  <si>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</si>
  <si>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</si>
  <si>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</si>
  <si>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</si>
  <si>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</si>
  <si>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</si>
  <si>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</si>
  <si>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</si>
  <si>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</si>
  <si>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</si>
  <si>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</si>
  <si>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</si>
  <si>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</si>
  <si>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</si>
  <si>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</si>
  <si>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</si>
  <si>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</si>
  <si>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</si>
  <si>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</si>
  <si>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</si>
  <si>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</si>
  <si>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</si>
  <si>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</si>
  <si>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</si>
  <si>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</si>
  <si>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</si>
  <si>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</si>
  <si>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</si>
  <si>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</si>
  <si>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</si>
  <si>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</si>
  <si>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</si>
  <si>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</si>
  <si>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</si>
  <si>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</si>
  <si>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</si>
  <si>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</si>
  <si>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</si>
  <si>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</si>
  <si>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</si>
  <si>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</si>
  <si>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</si>
  <si>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</si>
  <si>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</si>
  <si>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</si>
  <si>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</si>
  <si>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</si>
  <si>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</si>
  <si>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</si>
  <si>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</si>
  <si>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</si>
  <si>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</si>
  <si>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</si>
  <si>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</si>
  <si>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</si>
  <si>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</si>
  <si>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</si>
  <si>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</si>
  <si>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</si>
  <si>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</si>
  <si>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</si>
  <si>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</si>
  <si>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</si>
  <si>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</si>
  <si>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</si>
  <si>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</si>
  <si>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</si>
  <si>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</si>
  <si>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</si>
  <si>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</si>
  <si>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</si>
  <si>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</si>
  <si>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</si>
  <si>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</si>
  <si>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</si>
  <si>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</si>
  <si>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</si>
  <si>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</si>
  <si>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</si>
  <si>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</si>
  <si>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</si>
  <si>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</si>
  <si>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</si>
  <si>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</si>
  <si>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</si>
  <si>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</si>
  <si>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</si>
  <si>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</si>
  <si>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</si>
  <si>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</si>
  <si>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</si>
  <si>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</si>
  <si>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</si>
  <si>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</si>
  <si>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</si>
  <si>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</si>
  <si>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</si>
  <si>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</si>
  <si>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</si>
  <si>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</si>
  <si>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</si>
  <si>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</si>
  <si>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</si>
  <si>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</si>
  <si>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</si>
  <si>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</si>
  <si>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</si>
  <si>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</si>
  <si>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</si>
  <si>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</si>
  <si>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</si>
  <si>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</si>
  <si>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</si>
  <si>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</si>
  <si>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</si>
  <si>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</si>
  <si>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</si>
  <si>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</si>
  <si>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</si>
  <si>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</si>
  <si>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</si>
  <si>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</si>
  <si>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</si>
  <si>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</si>
  <si>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</si>
  <si>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</si>
  <si>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</si>
  <si>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</si>
  <si>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</si>
  <si>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</si>
  <si>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</si>
  <si>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</si>
  <si>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</si>
  <si>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</si>
  <si>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</si>
  <si>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</si>
  <si>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</si>
  <si>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</si>
  <si>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</si>
  <si>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</si>
  <si>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</si>
  <si>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</si>
  <si>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</si>
  <si>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</si>
  <si>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</si>
  <si>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</si>
  <si>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</si>
  <si>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</si>
  <si>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</si>
  <si>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</si>
  <si>
    <t>TORTA 12 PX ZANAHORIA</t>
  </si>
  <si>
    <t>TORTA 12 PX S/AZÚCAR</t>
  </si>
  <si>
    <t>TARTALETA 12PX N</t>
  </si>
  <si>
    <t>TARTALETA 12PX S/A</t>
  </si>
  <si>
    <t>TARTALETA 18PX N</t>
  </si>
  <si>
    <t>TARTALETA 18PX S/A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</si>
</sst>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164" fontId="19" fillId="0" borderId="6" xfId="0" applyNumberFormat="1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7" xfId="0" applyNumberFormat="1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3" fontId="3" fillId="0" borderId="1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3" fillId="0" borderId="1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3" fontId="3" fillId="0" borderId="9" xfId="0" applyNumberFormat="1" applyFont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164" fontId="19" fillId="0" borderId="6" xfId="0" applyNumberFormat="1" applyFont="1" applyBorder="1" applyAlignment="1">
      <alignment horizontal="center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91</xdr:row>
      <xdr:rowOff>0</xdr:rowOff>
    </xdr:from>
    <xdr:to>
      <xdr:col>26</xdr:col>
      <xdr:colOff>13317798</xdr:colOff>
      <xdr:row>91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70</xdr:row>
      <xdr:rowOff>158750</xdr:rowOff>
    </xdr:from>
    <xdr:to>
      <xdr:col>30</xdr:col>
      <xdr:colOff>2143125</xdr:colOff>
      <xdr:row>71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73</xdr:row>
      <xdr:rowOff>79375</xdr:rowOff>
    </xdr:from>
    <xdr:to>
      <xdr:col>31</xdr:col>
      <xdr:colOff>79375</xdr:colOff>
      <xdr:row>74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75</xdr:row>
      <xdr:rowOff>158750</xdr:rowOff>
    </xdr:from>
    <xdr:to>
      <xdr:col>31</xdr:col>
      <xdr:colOff>79375</xdr:colOff>
      <xdr:row>76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77</xdr:row>
      <xdr:rowOff>0</xdr:rowOff>
    </xdr:from>
    <xdr:to>
      <xdr:col>30</xdr:col>
      <xdr:colOff>2143125</xdr:colOff>
      <xdr:row>78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79</xdr:row>
      <xdr:rowOff>0</xdr:rowOff>
    </xdr:from>
    <xdr:to>
      <xdr:col>31</xdr:col>
      <xdr:colOff>0</xdr:colOff>
      <xdr:row>80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92</xdr:row>
      <xdr:rowOff>396874</xdr:rowOff>
    </xdr:from>
    <xdr:to>
      <xdr:col>31</xdr:col>
      <xdr:colOff>0</xdr:colOff>
      <xdr:row>101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111</xdr:row>
      <xdr:rowOff>79375</xdr:rowOff>
    </xdr:from>
    <xdr:to>
      <xdr:col>30</xdr:col>
      <xdr:colOff>2063750</xdr:colOff>
      <xdr:row>122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125</xdr:row>
      <xdr:rowOff>79375</xdr:rowOff>
    </xdr:from>
    <xdr:to>
      <xdr:col>31</xdr:col>
      <xdr:colOff>47625</xdr:colOff>
      <xdr:row>134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138</xdr:row>
      <xdr:rowOff>1</xdr:rowOff>
    </xdr:from>
    <xdr:to>
      <xdr:col>31</xdr:col>
      <xdr:colOff>79375</xdr:colOff>
      <xdr:row>139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165</xdr:row>
      <xdr:rowOff>1</xdr:rowOff>
    </xdr:from>
    <xdr:to>
      <xdr:col>30</xdr:col>
      <xdr:colOff>2063750</xdr:colOff>
      <xdr:row>172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106</xdr:row>
      <xdr:rowOff>0</xdr:rowOff>
    </xdr:from>
    <xdr:to>
      <xdr:col>30</xdr:col>
      <xdr:colOff>1923677</xdr:colOff>
      <xdr:row>107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54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107</xdr:row>
      <xdr:rowOff>0</xdr:rowOff>
    </xdr:from>
    <xdr:to>
      <xdr:col>30</xdr:col>
      <xdr:colOff>1923677</xdr:colOff>
      <xdr:row>108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198"/>
  <sheetViews>
    <sheetView tabSelected="1" topLeftCell="A128" zoomScale="10" zoomScaleNormal="10" zoomScaleSheetLayoutView="10" workbookViewId="0">
      <selection activeCell="I149" sqref="I149"/>
    </sheetView>
  </sheetViews>
  <sheetFormatPr baseColWidth="10" defaultRowHeight="165" x14ac:dyDescent="2.35"/>
  <cols>
    <col min="1" max="1" width="18.5703125" customWidth="1"/>
    <col min="2" max="2" width="192" style="106" customWidth="1"/>
    <col min="3" max="22" width="58.7109375" style="54" customWidth="1"/>
    <col min="23" max="23" width="84.28515625" style="54" customWidth="1"/>
    <col min="24" max="24" width="95.7109375" style="124" customWidth="1"/>
    <col min="25" max="25" width="73" style="54" bestFit="1" customWidth="1"/>
    <col min="26" max="26" width="115.42578125" style="54" customWidth="1"/>
    <col min="27" max="27" width="177.5703125" style="109" customWidth="1"/>
    <col min="28" max="29" width="63" style="109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32" t="s">
        <v>0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"/>
      <c r="AF1" s="1"/>
    </row>
    <row r="2" spans="1:40" s="4" customFormat="1" ht="138" customHeight="1" x14ac:dyDescent="2.35">
      <c r="B2" s="130" t="s">
        <v>1</v>
      </c>
      <c r="C2" s="128" t="s">
        <v>2</v>
      </c>
      <c r="D2" s="129"/>
      <c r="E2" s="128" t="s">
        <v>3</v>
      </c>
      <c r="F2" s="129"/>
      <c r="G2" s="128" t="s">
        <v>4</v>
      </c>
      <c r="H2" s="129"/>
      <c r="I2" s="128" t="s">
        <v>5</v>
      </c>
      <c r="J2" s="129"/>
      <c r="K2" s="128" t="s">
        <v>6</v>
      </c>
      <c r="L2" s="129"/>
      <c r="M2" s="128" t="s">
        <v>7</v>
      </c>
      <c r="N2" s="129"/>
      <c r="O2" s="128" t="s">
        <v>8</v>
      </c>
      <c r="P2" s="129"/>
      <c r="Q2" s="128" t="s">
        <v>9</v>
      </c>
      <c r="R2" s="129"/>
      <c r="S2" s="128" t="s">
        <v>10</v>
      </c>
      <c r="T2" s="129"/>
      <c r="U2" s="128" t="s">
        <v>11</v>
      </c>
      <c r="V2" s="129"/>
      <c r="W2" s="130" t="s">
        <v>12</v>
      </c>
      <c r="X2" s="136" t="s">
        <v>209</v>
      </c>
      <c r="Y2" s="130" t="s">
        <v>13</v>
      </c>
      <c r="Z2" s="130" t="s">
        <v>14</v>
      </c>
      <c r="AA2" s="130" t="s">
        <v>1</v>
      </c>
      <c r="AB2" s="134" t="s">
        <v>15</v>
      </c>
      <c r="AC2" s="135"/>
      <c r="AD2" s="6" t="s">
        <v>16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31"/>
      <c r="C3" s="9" t="s">
        <v>17</v>
      </c>
      <c r="D3" s="9" t="s">
        <v>18</v>
      </c>
      <c r="E3" s="9" t="s">
        <v>17</v>
      </c>
      <c r="F3" s="9" t="s">
        <v>18</v>
      </c>
      <c r="G3" s="9" t="s">
        <v>17</v>
      </c>
      <c r="H3" s="9" t="s">
        <v>18</v>
      </c>
      <c r="I3" s="9" t="s">
        <v>17</v>
      </c>
      <c r="J3" s="9" t="s">
        <v>18</v>
      </c>
      <c r="K3" s="9" t="s">
        <v>17</v>
      </c>
      <c r="L3" s="9" t="s">
        <v>18</v>
      </c>
      <c r="M3" s="9" t="s">
        <v>17</v>
      </c>
      <c r="N3" s="9" t="s">
        <v>18</v>
      </c>
      <c r="O3" s="9" t="s">
        <v>17</v>
      </c>
      <c r="P3" s="9" t="s">
        <v>18</v>
      </c>
      <c r="Q3" s="9" t="s">
        <v>17</v>
      </c>
      <c r="R3" s="9" t="s">
        <v>18</v>
      </c>
      <c r="S3" s="9" t="s">
        <v>17</v>
      </c>
      <c r="T3" s="9" t="s">
        <v>18</v>
      </c>
      <c r="U3" s="9" t="s">
        <v>17</v>
      </c>
      <c r="V3" s="9" t="s">
        <v>18</v>
      </c>
      <c r="W3" s="131"/>
      <c r="X3" s="137"/>
      <c r="Y3" s="131"/>
      <c r="Z3" s="131"/>
      <c r="AA3" s="131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19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2">
        <v>0</v>
      </c>
      <c r="Y4" s="14">
        <f>SUM(C4,E4,G4,I4,K4,,M4,O4,Q4,S4,U4,W4)</f>
        <v>0</v>
      </c>
      <c r="Z4" s="138">
        <f>SUM(D9,F9,H9,J9,L9,,N9,P9,R9,T9,V9)</f>
        <v>0</v>
      </c>
      <c r="AA4" s="15" t="s">
        <v>19</v>
      </c>
      <c r="AC4" s="141">
        <f>SUM(Y4,AB5,AB6,AB7,AB8)</f>
        <v>0</v>
      </c>
      <c r="AD4" s="16">
        <f>X4</f>
        <v>0</v>
      </c>
      <c r="AE4" s="17"/>
      <c r="AF4" s="144" t="s">
        <v>20</v>
      </c>
      <c r="AG4" s="145"/>
      <c r="AH4" s="145"/>
      <c r="AI4" s="145"/>
      <c r="AJ4" s="146"/>
      <c r="AK4" s="150">
        <f>SUM(AD4:AD59)-AD20</f>
        <v>0</v>
      </c>
      <c r="AL4" s="151"/>
    </row>
    <row r="5" spans="1:40" s="12" customFormat="1" ht="110.25" customHeight="1" x14ac:dyDescent="2.1">
      <c r="B5" s="13" t="s">
        <v>21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2">
        <v>0</v>
      </c>
      <c r="Y5" s="14">
        <f>SUM(C5:W5)</f>
        <v>0</v>
      </c>
      <c r="Z5" s="139"/>
      <c r="AA5" s="13" t="s">
        <v>21</v>
      </c>
      <c r="AB5" s="21">
        <f>Y5*4</f>
        <v>0</v>
      </c>
      <c r="AC5" s="142"/>
      <c r="AD5" s="16">
        <f>X5</f>
        <v>0</v>
      </c>
      <c r="AE5" s="17"/>
      <c r="AF5" s="147"/>
      <c r="AG5" s="148"/>
      <c r="AH5" s="148"/>
      <c r="AI5" s="148"/>
      <c r="AJ5" s="149"/>
      <c r="AK5" s="152"/>
      <c r="AL5" s="151"/>
    </row>
    <row r="6" spans="1:40" s="12" customFormat="1" ht="110.25" customHeight="1" x14ac:dyDescent="2.1">
      <c r="B6" s="13" t="s">
        <v>22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2">
        <v>0</v>
      </c>
      <c r="Y6" s="14">
        <f>SUM(C6:W6)</f>
        <v>0</v>
      </c>
      <c r="Z6" s="139"/>
      <c r="AA6" s="15" t="s">
        <v>23</v>
      </c>
      <c r="AB6" s="21">
        <f>Y6*8</f>
        <v>0</v>
      </c>
      <c r="AC6" s="142"/>
      <c r="AD6" s="16">
        <f t="shared" ref="AD6:AD7" si="0">X6</f>
        <v>0</v>
      </c>
      <c r="AE6" s="17"/>
      <c r="AF6" s="147"/>
      <c r="AG6" s="148"/>
      <c r="AH6" s="148"/>
      <c r="AI6" s="148"/>
      <c r="AJ6" s="149"/>
      <c r="AK6" s="152"/>
      <c r="AL6" s="151"/>
    </row>
    <row r="7" spans="1:40" s="12" customFormat="1" ht="110.25" customHeight="1" x14ac:dyDescent="2.1">
      <c r="B7" s="13" t="s">
        <v>24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2">
        <v>0</v>
      </c>
      <c r="Y7" s="14">
        <f>SUM(C7:W7)</f>
        <v>0</v>
      </c>
      <c r="Z7" s="139"/>
      <c r="AA7" s="15" t="s">
        <v>25</v>
      </c>
      <c r="AB7" s="21">
        <f>Y7*12</f>
        <v>0</v>
      </c>
      <c r="AC7" s="142"/>
      <c r="AD7" s="16">
        <f t="shared" si="0"/>
        <v>0</v>
      </c>
      <c r="AE7" s="17"/>
      <c r="AF7" s="153">
        <f>SUM(AD4:AD8)</f>
        <v>0</v>
      </c>
      <c r="AG7" s="154"/>
      <c r="AH7" s="154"/>
      <c r="AI7" s="154"/>
      <c r="AJ7" s="155"/>
      <c r="AK7" s="152"/>
      <c r="AL7" s="151"/>
    </row>
    <row r="8" spans="1:40" s="12" customFormat="1" ht="146.25" x14ac:dyDescent="2.1">
      <c r="B8" s="13" t="s">
        <v>26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2">
        <v>0</v>
      </c>
      <c r="Y8" s="14">
        <f>SUM(C8:W8)</f>
        <v>0</v>
      </c>
      <c r="Z8" s="140"/>
      <c r="AA8" s="15" t="s">
        <v>27</v>
      </c>
      <c r="AB8" s="21">
        <f>Y8*16</f>
        <v>0</v>
      </c>
      <c r="AC8" s="143"/>
      <c r="AD8" s="16">
        <f>X8</f>
        <v>0</v>
      </c>
      <c r="AE8" s="17"/>
      <c r="AF8" s="26"/>
      <c r="AG8" s="27"/>
      <c r="AH8" s="27"/>
      <c r="AI8" s="27"/>
      <c r="AJ8" s="28"/>
      <c r="AK8" s="152"/>
      <c r="AL8" s="151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3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152"/>
      <c r="AL9" s="151"/>
      <c r="AM9" s="29"/>
      <c r="AN9" s="29"/>
    </row>
    <row r="10" spans="1:40" s="29" customFormat="1" ht="110.25" customHeight="1" x14ac:dyDescent="2.1">
      <c r="B10" s="37" t="s">
        <v>28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2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28</v>
      </c>
      <c r="AB10" s="156">
        <f>SUM(Y10:Y13)</f>
        <v>0</v>
      </c>
      <c r="AC10" s="159">
        <f>SUM(AB10,AB15)</f>
        <v>0</v>
      </c>
      <c r="AD10" s="16">
        <f>X10</f>
        <v>0</v>
      </c>
      <c r="AE10" s="17"/>
      <c r="AF10" s="162" t="s">
        <v>29</v>
      </c>
      <c r="AG10" s="163"/>
      <c r="AH10" s="163"/>
      <c r="AI10" s="163"/>
      <c r="AJ10" s="164"/>
      <c r="AK10" s="152"/>
      <c r="AL10" s="151"/>
      <c r="AM10" s="12"/>
      <c r="AN10" s="12"/>
    </row>
    <row r="11" spans="1:40" s="12" customFormat="1" ht="110.25" customHeight="1" x14ac:dyDescent="2.1">
      <c r="A11" s="12">
        <v>0</v>
      </c>
      <c r="B11" s="13" t="s">
        <v>30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2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30</v>
      </c>
      <c r="AB11" s="157"/>
      <c r="AC11" s="160"/>
      <c r="AD11" s="16">
        <f t="shared" ref="AD11:AD13" si="1">X11</f>
        <v>0</v>
      </c>
      <c r="AE11" s="17"/>
      <c r="AF11" s="165"/>
      <c r="AG11" s="154"/>
      <c r="AH11" s="154"/>
      <c r="AI11" s="154"/>
      <c r="AJ11" s="155"/>
      <c r="AK11" s="152"/>
      <c r="AL11" s="151"/>
    </row>
    <row r="12" spans="1:40" s="12" customFormat="1" ht="108.75" customHeight="1" x14ac:dyDescent="2.1">
      <c r="B12" s="13" t="s">
        <v>31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2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31</v>
      </c>
      <c r="AB12" s="157"/>
      <c r="AC12" s="160"/>
      <c r="AD12" s="16">
        <f t="shared" si="1"/>
        <v>0</v>
      </c>
      <c r="AE12" s="17"/>
      <c r="AF12" s="165"/>
      <c r="AG12" s="154"/>
      <c r="AH12" s="154"/>
      <c r="AI12" s="154"/>
      <c r="AJ12" s="155"/>
      <c r="AK12" s="152"/>
      <c r="AL12" s="151"/>
    </row>
    <row r="13" spans="1:40" s="12" customFormat="1" ht="110.25" customHeight="1" x14ac:dyDescent="2.1">
      <c r="B13" s="13" t="s">
        <v>32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2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32</v>
      </c>
      <c r="AB13" s="158"/>
      <c r="AC13" s="160"/>
      <c r="AD13" s="16">
        <f t="shared" si="1"/>
        <v>0</v>
      </c>
      <c r="AE13" s="17"/>
      <c r="AF13" s="165"/>
      <c r="AG13" s="154"/>
      <c r="AH13" s="154"/>
      <c r="AI13" s="154"/>
      <c r="AJ13" s="155"/>
      <c r="AK13" s="152"/>
      <c r="AL13" s="151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3"/>
      <c r="Y14" s="14"/>
      <c r="Z14" s="41"/>
      <c r="AA14" s="42"/>
      <c r="AB14" s="13"/>
      <c r="AC14" s="160"/>
      <c r="AD14" s="33"/>
      <c r="AE14" s="17"/>
      <c r="AF14" s="165"/>
      <c r="AG14" s="154"/>
      <c r="AH14" s="154"/>
      <c r="AI14" s="154"/>
      <c r="AJ14" s="155"/>
      <c r="AK14" s="152"/>
      <c r="AL14" s="151"/>
    </row>
    <row r="15" spans="1:40" s="12" customFormat="1" ht="110.25" customHeight="1" x14ac:dyDescent="2.1">
      <c r="B15" s="13" t="s">
        <v>33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4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33</v>
      </c>
      <c r="AB15" s="156">
        <f>SUM(Y15:Y18)</f>
        <v>0</v>
      </c>
      <c r="AC15" s="160"/>
      <c r="AD15" s="16">
        <f>X15</f>
        <v>0</v>
      </c>
      <c r="AE15" s="17"/>
      <c r="AF15" s="153">
        <f>SUM(AD10:AD20)-AD20</f>
        <v>0</v>
      </c>
      <c r="AG15" s="154"/>
      <c r="AH15" s="154"/>
      <c r="AI15" s="154"/>
      <c r="AJ15" s="155"/>
      <c r="AK15" s="152"/>
      <c r="AL15" s="151"/>
    </row>
    <row r="16" spans="1:40" s="12" customFormat="1" ht="110.25" customHeight="1" x14ac:dyDescent="2.1">
      <c r="B16" s="13" t="s">
        <v>34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5">
        <v>0</v>
      </c>
      <c r="Y16" s="14">
        <f t="shared" si="3"/>
        <v>0</v>
      </c>
      <c r="Z16" s="14">
        <f t="shared" si="4"/>
        <v>0</v>
      </c>
      <c r="AA16" s="13" t="s">
        <v>34</v>
      </c>
      <c r="AB16" s="157"/>
      <c r="AC16" s="160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152"/>
      <c r="AL16" s="151"/>
    </row>
    <row r="17" spans="1:38" s="12" customFormat="1" ht="110.25" customHeight="1" x14ac:dyDescent="2.1">
      <c r="B17" s="13" t="s">
        <v>35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5">
        <v>0</v>
      </c>
      <c r="Y17" s="14">
        <f t="shared" si="3"/>
        <v>0</v>
      </c>
      <c r="Z17" s="14">
        <f t="shared" si="4"/>
        <v>0</v>
      </c>
      <c r="AA17" s="13" t="s">
        <v>35</v>
      </c>
      <c r="AB17" s="157"/>
      <c r="AC17" s="160"/>
      <c r="AD17" s="16">
        <f t="shared" si="5"/>
        <v>0</v>
      </c>
      <c r="AE17" s="17"/>
      <c r="AF17" s="26"/>
      <c r="AG17" s="27"/>
      <c r="AH17" s="27"/>
      <c r="AI17" s="27"/>
      <c r="AJ17" s="28"/>
      <c r="AK17" s="152"/>
      <c r="AL17" s="151"/>
    </row>
    <row r="18" spans="1:38" s="12" customFormat="1" ht="110.25" customHeight="1" x14ac:dyDescent="2.1">
      <c r="B18" s="13" t="s">
        <v>36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4">
        <v>0</v>
      </c>
      <c r="Y18" s="14">
        <f t="shared" si="3"/>
        <v>0</v>
      </c>
      <c r="Z18" s="14">
        <f t="shared" si="4"/>
        <v>0</v>
      </c>
      <c r="AA18" s="13" t="s">
        <v>36</v>
      </c>
      <c r="AB18" s="157"/>
      <c r="AC18" s="160"/>
      <c r="AD18" s="16">
        <f t="shared" si="5"/>
        <v>0</v>
      </c>
      <c r="AE18" s="17"/>
      <c r="AF18" s="26"/>
      <c r="AG18" s="27"/>
      <c r="AH18" s="27"/>
      <c r="AI18" s="27"/>
      <c r="AJ18" s="28"/>
      <c r="AK18" s="152"/>
      <c r="AL18" s="151"/>
    </row>
    <row r="19" spans="1:38" s="12" customFormat="1" ht="110.25" customHeight="1" x14ac:dyDescent="2.1">
      <c r="B19" s="13" t="s">
        <v>37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5">
        <v>0</v>
      </c>
      <c r="Y19" s="14">
        <f t="shared" si="3"/>
        <v>0</v>
      </c>
      <c r="Z19" s="14">
        <f t="shared" si="4"/>
        <v>0</v>
      </c>
      <c r="AA19" s="13" t="s">
        <v>37</v>
      </c>
      <c r="AB19" s="157"/>
      <c r="AC19" s="160"/>
      <c r="AD19" s="16">
        <f t="shared" si="5"/>
        <v>0</v>
      </c>
      <c r="AE19" s="17"/>
      <c r="AF19" s="26"/>
      <c r="AG19" s="27"/>
      <c r="AH19" s="27"/>
      <c r="AI19" s="27"/>
      <c r="AJ19" s="28"/>
      <c r="AK19" s="152"/>
      <c r="AL19" s="151"/>
    </row>
    <row r="20" spans="1:38" s="12" customFormat="1" ht="110.25" customHeight="1" thickBot="1" x14ac:dyDescent="2.15">
      <c r="B20" s="13" t="s">
        <v>38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4">
        <v>0</v>
      </c>
      <c r="Y20" s="14">
        <f t="shared" si="3"/>
        <v>0</v>
      </c>
      <c r="Z20" s="14">
        <f t="shared" si="4"/>
        <v>0</v>
      </c>
      <c r="AA20" s="13" t="s">
        <v>38</v>
      </c>
      <c r="AB20" s="158"/>
      <c r="AC20" s="161"/>
      <c r="AD20" s="16">
        <f t="shared" si="5"/>
        <v>0</v>
      </c>
      <c r="AE20" s="17"/>
      <c r="AF20" s="26"/>
      <c r="AG20" s="27"/>
      <c r="AH20" s="27"/>
      <c r="AI20" s="27"/>
      <c r="AJ20" s="28"/>
      <c r="AK20" s="152"/>
      <c r="AL20" s="151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3"/>
      <c r="Y21" s="14"/>
      <c r="Z21" s="14"/>
      <c r="AA21" s="42"/>
      <c r="AB21" s="181"/>
      <c r="AC21" s="182"/>
      <c r="AD21" s="33"/>
      <c r="AE21" s="17"/>
      <c r="AF21" s="162" t="s">
        <v>39</v>
      </c>
      <c r="AG21" s="163"/>
      <c r="AH21" s="163"/>
      <c r="AI21" s="163"/>
      <c r="AJ21" s="164"/>
      <c r="AK21" s="152"/>
      <c r="AL21" s="151"/>
    </row>
    <row r="22" spans="1:38" s="12" customFormat="1" ht="110.25" customHeight="1" x14ac:dyDescent="2.1">
      <c r="B22" s="13" t="s">
        <v>40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6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40</v>
      </c>
      <c r="AB22" s="183"/>
      <c r="AC22" s="184"/>
      <c r="AD22" s="16">
        <f>X22</f>
        <v>0</v>
      </c>
      <c r="AE22" s="17"/>
      <c r="AF22" s="185">
        <f>SUM(AD22:AE22)</f>
        <v>0</v>
      </c>
      <c r="AG22" s="186"/>
      <c r="AH22" s="186"/>
      <c r="AI22" s="186"/>
      <c r="AJ22" s="187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3"/>
      <c r="Y23" s="14"/>
      <c r="Z23" s="14"/>
      <c r="AA23" s="42"/>
      <c r="AB23" s="172"/>
      <c r="AC23" s="173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41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2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41</v>
      </c>
      <c r="AB24" s="174">
        <f>SUM(Y24:Y25)</f>
        <v>0</v>
      </c>
      <c r="AC24" s="175"/>
      <c r="AD24" s="16">
        <f t="shared" si="8"/>
        <v>0</v>
      </c>
      <c r="AE24" s="17"/>
      <c r="AF24" s="178" t="s">
        <v>42</v>
      </c>
      <c r="AG24" s="179"/>
      <c r="AH24" s="179"/>
      <c r="AI24" s="179"/>
      <c r="AJ24" s="180"/>
      <c r="AK24" s="166" t="s">
        <v>43</v>
      </c>
      <c r="AL24" s="167"/>
    </row>
    <row r="25" spans="1:38" s="12" customFormat="1" ht="110.25" customHeight="1" thickBot="1" x14ac:dyDescent="2.15">
      <c r="A25" s="12">
        <v>0</v>
      </c>
      <c r="B25" s="13" t="s">
        <v>44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2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44</v>
      </c>
      <c r="AB25" s="176"/>
      <c r="AC25" s="177"/>
      <c r="AD25" s="16">
        <f t="shared" si="8"/>
        <v>0</v>
      </c>
      <c r="AE25" s="17"/>
      <c r="AF25" s="169">
        <f>SUM(AD24:AD25)</f>
        <v>0</v>
      </c>
      <c r="AG25" s="170"/>
      <c r="AH25" s="170"/>
      <c r="AI25" s="170"/>
      <c r="AJ25" s="171"/>
      <c r="AK25" s="166"/>
      <c r="AL25" s="167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3"/>
      <c r="Y26" s="14"/>
      <c r="Z26" s="14"/>
      <c r="AA26" s="13"/>
      <c r="AB26" s="172"/>
      <c r="AC26" s="173"/>
      <c r="AD26" s="16">
        <f t="shared" si="8"/>
        <v>0</v>
      </c>
      <c r="AE26" s="17"/>
      <c r="AF26" s="44"/>
      <c r="AG26" s="45"/>
      <c r="AH26" s="45"/>
      <c r="AI26" s="45"/>
      <c r="AJ26" s="46"/>
      <c r="AK26" s="166"/>
      <c r="AL26" s="167"/>
    </row>
    <row r="27" spans="1:38" s="12" customFormat="1" ht="110.25" customHeight="1" x14ac:dyDescent="2.1">
      <c r="A27" s="12">
        <v>0</v>
      </c>
      <c r="B27" s="13" t="s">
        <v>45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2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45</v>
      </c>
      <c r="AB27" s="174">
        <f>SUM(Y26:Y28)</f>
        <v>0</v>
      </c>
      <c r="AC27" s="175"/>
      <c r="AD27" s="16">
        <f t="shared" si="8"/>
        <v>0</v>
      </c>
      <c r="AE27" s="17"/>
      <c r="AF27" s="178" t="s">
        <v>46</v>
      </c>
      <c r="AG27" s="179"/>
      <c r="AH27" s="179"/>
      <c r="AI27" s="179"/>
      <c r="AJ27" s="180"/>
      <c r="AK27" s="166"/>
      <c r="AL27" s="167"/>
    </row>
    <row r="28" spans="1:38" s="12" customFormat="1" ht="110.25" customHeight="1" thickBot="1" x14ac:dyDescent="2.15">
      <c r="A28" s="12">
        <v>0</v>
      </c>
      <c r="B28" s="13" t="s">
        <v>47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2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47</v>
      </c>
      <c r="AB28" s="176"/>
      <c r="AC28" s="177"/>
      <c r="AD28" s="16">
        <f t="shared" si="8"/>
        <v>0</v>
      </c>
      <c r="AE28" s="17"/>
      <c r="AF28" s="169">
        <f>+AD27+AD31</f>
        <v>0</v>
      </c>
      <c r="AG28" s="170"/>
      <c r="AH28" s="170"/>
      <c r="AI28" s="170"/>
      <c r="AJ28" s="171"/>
      <c r="AK28" s="166"/>
      <c r="AL28" s="167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3"/>
      <c r="Y29" s="14"/>
      <c r="Z29" s="14"/>
      <c r="AA29" s="13"/>
      <c r="AB29" s="172"/>
      <c r="AC29" s="173"/>
      <c r="AD29" s="16">
        <f t="shared" si="8"/>
        <v>0</v>
      </c>
      <c r="AE29" s="17"/>
      <c r="AF29" s="44"/>
      <c r="AG29" s="45"/>
      <c r="AH29" s="45"/>
      <c r="AI29" s="45"/>
      <c r="AJ29" s="45"/>
      <c r="AK29" s="166"/>
      <c r="AL29" s="167"/>
    </row>
    <row r="30" spans="1:38" s="12" customFormat="1" ht="110.25" customHeight="1" x14ac:dyDescent="2.1">
      <c r="A30" s="12">
        <v>0</v>
      </c>
      <c r="B30" s="13" t="s">
        <v>48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2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48</v>
      </c>
      <c r="AB30" s="174">
        <f>SUM(Y29:Y31)</f>
        <v>0</v>
      </c>
      <c r="AC30" s="175"/>
      <c r="AD30" s="16">
        <f t="shared" si="8"/>
        <v>0</v>
      </c>
      <c r="AE30" s="17"/>
      <c r="AF30" s="178" t="s">
        <v>49</v>
      </c>
      <c r="AG30" s="179"/>
      <c r="AH30" s="179"/>
      <c r="AI30" s="179"/>
      <c r="AJ30" s="179"/>
      <c r="AK30" s="166"/>
      <c r="AL30" s="167"/>
    </row>
    <row r="31" spans="1:38" s="12" customFormat="1" ht="110.25" customHeight="1" thickBot="1" x14ac:dyDescent="2.15">
      <c r="A31" s="12">
        <v>0</v>
      </c>
      <c r="B31" s="13" t="s">
        <v>50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2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50</v>
      </c>
      <c r="AB31" s="176"/>
      <c r="AC31" s="177"/>
      <c r="AD31" s="16">
        <f t="shared" si="8"/>
        <v>0</v>
      </c>
      <c r="AE31" s="17"/>
      <c r="AF31" s="169">
        <f>+AD30+AD31</f>
        <v>0</v>
      </c>
      <c r="AG31" s="170"/>
      <c r="AH31" s="170"/>
      <c r="AI31" s="170"/>
      <c r="AJ31" s="171"/>
      <c r="AK31" s="166"/>
      <c r="AL31" s="167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3"/>
      <c r="Y32" s="14"/>
      <c r="Z32" s="14"/>
      <c r="AA32" s="13"/>
      <c r="AB32" s="172"/>
      <c r="AC32" s="173"/>
      <c r="AD32" s="16">
        <f t="shared" si="8"/>
        <v>0</v>
      </c>
      <c r="AE32" s="17"/>
      <c r="AF32" s="44"/>
      <c r="AG32" s="45"/>
      <c r="AH32" s="45"/>
      <c r="AI32" s="45"/>
      <c r="AJ32" s="45"/>
      <c r="AK32" s="166"/>
      <c r="AL32" s="167"/>
    </row>
    <row r="33" spans="1:40" s="12" customFormat="1" ht="110.25" customHeight="1" x14ac:dyDescent="2.1">
      <c r="A33" s="12">
        <v>0</v>
      </c>
      <c r="B33" s="13" t="s">
        <v>51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2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51</v>
      </c>
      <c r="AB33" s="174">
        <f>SUM(Y32:Y34)</f>
        <v>0</v>
      </c>
      <c r="AC33" s="175"/>
      <c r="AD33" s="16">
        <f t="shared" si="8"/>
        <v>0</v>
      </c>
      <c r="AE33" s="17"/>
      <c r="AF33" s="178" t="s">
        <v>52</v>
      </c>
      <c r="AG33" s="179"/>
      <c r="AH33" s="179"/>
      <c r="AI33" s="179"/>
      <c r="AJ33" s="179"/>
      <c r="AK33" s="166"/>
      <c r="AL33" s="167"/>
    </row>
    <row r="34" spans="1:40" s="12" customFormat="1" ht="110.25" customHeight="1" thickBot="1" x14ac:dyDescent="2.15">
      <c r="A34" s="12">
        <v>0</v>
      </c>
      <c r="B34" s="13" t="s">
        <v>53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2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53</v>
      </c>
      <c r="AB34" s="176"/>
      <c r="AC34" s="177"/>
      <c r="AD34" s="16">
        <f t="shared" si="8"/>
        <v>0</v>
      </c>
      <c r="AE34" s="17"/>
      <c r="AF34" s="169">
        <f>+AD33+AD34</f>
        <v>0</v>
      </c>
      <c r="AG34" s="170"/>
      <c r="AH34" s="170"/>
      <c r="AI34" s="170"/>
      <c r="AJ34" s="171"/>
      <c r="AK34" s="166"/>
      <c r="AL34" s="167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3"/>
      <c r="Y35" s="14"/>
      <c r="Z35" s="14"/>
      <c r="AA35" s="13"/>
      <c r="AB35" s="172"/>
      <c r="AC35" s="173"/>
      <c r="AD35" s="16">
        <f t="shared" si="8"/>
        <v>0</v>
      </c>
      <c r="AE35" s="17"/>
      <c r="AF35" s="44"/>
      <c r="AG35" s="45"/>
      <c r="AH35" s="45"/>
      <c r="AI35" s="45"/>
      <c r="AJ35" s="45"/>
      <c r="AK35" s="166"/>
      <c r="AL35" s="167"/>
    </row>
    <row r="36" spans="1:40" s="12" customFormat="1" ht="110.25" customHeight="1" x14ac:dyDescent="2.1">
      <c r="B36" s="13" t="s">
        <v>54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2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54</v>
      </c>
      <c r="AB36" s="174">
        <f>SUM(Y35:Y37)</f>
        <v>0</v>
      </c>
      <c r="AC36" s="175"/>
      <c r="AD36" s="16">
        <f t="shared" si="8"/>
        <v>0</v>
      </c>
      <c r="AE36" s="17"/>
      <c r="AF36" s="178" t="s">
        <v>55</v>
      </c>
      <c r="AG36" s="179"/>
      <c r="AH36" s="179"/>
      <c r="AI36" s="179"/>
      <c r="AJ36" s="179"/>
      <c r="AK36" s="166"/>
      <c r="AL36" s="167"/>
    </row>
    <row r="37" spans="1:40" s="12" customFormat="1" ht="110.25" customHeight="1" thickBot="1" x14ac:dyDescent="2.15">
      <c r="B37" s="13" t="s">
        <v>56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6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56</v>
      </c>
      <c r="AB37" s="176"/>
      <c r="AC37" s="177"/>
      <c r="AD37" s="16">
        <f t="shared" si="8"/>
        <v>0</v>
      </c>
      <c r="AE37" s="17"/>
      <c r="AF37" s="169">
        <f>+AD36+AD37</f>
        <v>0</v>
      </c>
      <c r="AG37" s="170"/>
      <c r="AH37" s="170"/>
      <c r="AI37" s="170"/>
      <c r="AJ37" s="171"/>
      <c r="AK37" s="166"/>
      <c r="AL37" s="167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3"/>
      <c r="Y38" s="14"/>
      <c r="Z38" s="14"/>
      <c r="AA38" s="13"/>
      <c r="AB38" s="172"/>
      <c r="AC38" s="173"/>
      <c r="AD38" s="16">
        <f t="shared" si="8"/>
        <v>0</v>
      </c>
      <c r="AE38" s="17"/>
      <c r="AF38" s="45"/>
      <c r="AG38" s="45"/>
      <c r="AH38" s="45"/>
      <c r="AI38" s="45"/>
      <c r="AJ38" s="45"/>
      <c r="AK38" s="166"/>
      <c r="AL38" s="167"/>
      <c r="AM38" s="47"/>
      <c r="AN38" s="47"/>
    </row>
    <row r="39" spans="1:40" s="12" customFormat="1" ht="146.25" x14ac:dyDescent="2.1">
      <c r="B39" s="13" t="s">
        <v>57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6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57</v>
      </c>
      <c r="AB39" s="172"/>
      <c r="AC39" s="173"/>
      <c r="AD39" s="16">
        <f t="shared" si="8"/>
        <v>0</v>
      </c>
      <c r="AE39" s="17"/>
      <c r="AF39" s="45"/>
      <c r="AG39" s="45"/>
      <c r="AH39" s="45"/>
      <c r="AI39" s="45"/>
      <c r="AJ39" s="45"/>
      <c r="AK39" s="166"/>
      <c r="AL39" s="167"/>
      <c r="AM39" s="47"/>
      <c r="AN39" s="47"/>
    </row>
    <row r="40" spans="1:40" s="4" customFormat="1" ht="132" customHeight="1" x14ac:dyDescent="2.1">
      <c r="B40" s="48" t="s">
        <v>58</v>
      </c>
      <c r="C40" s="128" t="s">
        <v>2</v>
      </c>
      <c r="D40" s="129"/>
      <c r="E40" s="128" t="s">
        <v>3</v>
      </c>
      <c r="F40" s="129"/>
      <c r="G40" s="128" t="s">
        <v>4</v>
      </c>
      <c r="H40" s="129"/>
      <c r="I40" s="128" t="s">
        <v>5</v>
      </c>
      <c r="J40" s="129"/>
      <c r="K40" s="128" t="s">
        <v>6</v>
      </c>
      <c r="L40" s="129"/>
      <c r="M40" s="128" t="s">
        <v>7</v>
      </c>
      <c r="N40" s="129"/>
      <c r="O40" s="128" t="s">
        <v>8</v>
      </c>
      <c r="P40" s="129"/>
      <c r="Q40" s="128" t="s">
        <v>9</v>
      </c>
      <c r="R40" s="129"/>
      <c r="S40" s="128" t="s">
        <v>10</v>
      </c>
      <c r="T40" s="129"/>
      <c r="U40" s="128" t="s">
        <v>11</v>
      </c>
      <c r="V40" s="129"/>
      <c r="W40" s="5" t="s">
        <v>12</v>
      </c>
      <c r="X40" s="117"/>
      <c r="Y40" s="49" t="s">
        <v>13</v>
      </c>
      <c r="Z40" s="49" t="s">
        <v>14</v>
      </c>
      <c r="AA40" s="48" t="s">
        <v>58</v>
      </c>
      <c r="AB40" s="134"/>
      <c r="AC40" s="135"/>
      <c r="AD40" s="6">
        <v>0</v>
      </c>
      <c r="AE40" s="7"/>
      <c r="AF40" s="2"/>
      <c r="AG40" s="2"/>
      <c r="AH40" s="2"/>
      <c r="AI40" s="2"/>
      <c r="AJ40" s="2"/>
      <c r="AK40" s="166"/>
      <c r="AL40" s="167"/>
      <c r="AM40" s="12"/>
      <c r="AN40" s="12"/>
    </row>
    <row r="41" spans="1:40" s="47" customFormat="1" ht="147" thickBot="1" x14ac:dyDescent="2.15">
      <c r="A41" s="12"/>
      <c r="B41" s="13" t="s">
        <v>59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2">
        <v>0</v>
      </c>
      <c r="Y41" s="14">
        <f t="shared" ref="Y41:Y53" si="14">SUM(C41,E41,G41,I41,K41,,M41,O41,Q41,S41,U41,W41)</f>
        <v>0</v>
      </c>
      <c r="Z41" s="14">
        <f t="shared" ref="Z41:Z53" si="15">SUM(D41,F41,H41,J41,L41,,N41,P41,R41,T41,V41)</f>
        <v>0</v>
      </c>
      <c r="AA41" s="13" t="s">
        <v>59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166"/>
      <c r="AL41" s="167"/>
    </row>
    <row r="42" spans="1:40" s="47" customFormat="1" ht="146.25" x14ac:dyDescent="2.1">
      <c r="A42" s="12"/>
      <c r="B42" s="13" t="s">
        <v>60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2">
        <v>0</v>
      </c>
      <c r="Y42" s="14">
        <f t="shared" si="14"/>
        <v>0</v>
      </c>
      <c r="Z42" s="14">
        <f t="shared" si="15"/>
        <v>0</v>
      </c>
      <c r="AA42" s="13" t="s">
        <v>60</v>
      </c>
      <c r="AB42" s="188">
        <f>SUM(Y40:Y53)</f>
        <v>0</v>
      </c>
      <c r="AC42" s="189"/>
      <c r="AD42" s="16">
        <f t="shared" ref="AD42:AD59" si="16">X42</f>
        <v>0</v>
      </c>
      <c r="AE42" s="17"/>
      <c r="AF42" s="178" t="s">
        <v>61</v>
      </c>
      <c r="AG42" s="179"/>
      <c r="AH42" s="179"/>
      <c r="AI42" s="179"/>
      <c r="AJ42" s="180"/>
      <c r="AK42" s="168"/>
      <c r="AL42" s="167"/>
    </row>
    <row r="43" spans="1:40" s="47" customFormat="1" ht="110.25" customHeight="1" x14ac:dyDescent="2.1">
      <c r="A43" s="12"/>
      <c r="B43" s="13" t="s">
        <v>62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2">
        <v>0</v>
      </c>
      <c r="Y43" s="14">
        <f t="shared" si="14"/>
        <v>0</v>
      </c>
      <c r="Z43" s="14">
        <f t="shared" si="15"/>
        <v>0</v>
      </c>
      <c r="AA43" s="13" t="s">
        <v>62</v>
      </c>
      <c r="AB43" s="188"/>
      <c r="AC43" s="189"/>
      <c r="AD43" s="16">
        <f t="shared" si="16"/>
        <v>0</v>
      </c>
      <c r="AE43" s="17"/>
      <c r="AF43" s="53"/>
      <c r="AG43" s="54"/>
      <c r="AH43" s="54"/>
      <c r="AI43" s="54"/>
      <c r="AJ43" s="55"/>
      <c r="AK43" s="168"/>
      <c r="AL43" s="167"/>
    </row>
    <row r="44" spans="1:40" s="47" customFormat="1" ht="110.25" customHeight="1" x14ac:dyDescent="2.1">
      <c r="A44" s="12"/>
      <c r="B44" s="13" t="s">
        <v>63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2">
        <v>0</v>
      </c>
      <c r="Y44" s="14">
        <f t="shared" si="14"/>
        <v>0</v>
      </c>
      <c r="Z44" s="14">
        <f t="shared" si="15"/>
        <v>0</v>
      </c>
      <c r="AA44" s="13" t="s">
        <v>63</v>
      </c>
      <c r="AB44" s="188"/>
      <c r="AC44" s="189"/>
      <c r="AD44" s="16">
        <f t="shared" si="16"/>
        <v>0</v>
      </c>
      <c r="AE44" s="17"/>
      <c r="AF44" s="53"/>
      <c r="AG44" s="54"/>
      <c r="AH44" s="54"/>
      <c r="AI44" s="54"/>
      <c r="AJ44" s="55"/>
      <c r="AK44" s="168"/>
      <c r="AL44" s="167"/>
    </row>
    <row r="45" spans="1:40" s="47" customFormat="1" ht="110.25" customHeight="1" x14ac:dyDescent="2.1">
      <c r="A45" s="12"/>
      <c r="B45" s="13" t="s">
        <v>64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2">
        <v>0</v>
      </c>
      <c r="Y45" s="14">
        <f t="shared" si="14"/>
        <v>0</v>
      </c>
      <c r="Z45" s="14">
        <f t="shared" si="15"/>
        <v>0</v>
      </c>
      <c r="AA45" s="13" t="s">
        <v>64</v>
      </c>
      <c r="AB45" s="188"/>
      <c r="AC45" s="189"/>
      <c r="AD45" s="16">
        <f t="shared" si="16"/>
        <v>0</v>
      </c>
      <c r="AE45" s="17"/>
      <c r="AF45" s="53"/>
      <c r="AG45" s="54"/>
      <c r="AH45" s="54"/>
      <c r="AI45" s="54"/>
      <c r="AJ45" s="55"/>
      <c r="AK45" s="168"/>
      <c r="AL45" s="167"/>
    </row>
    <row r="46" spans="1:40" s="47" customFormat="1" ht="110.25" customHeight="1" x14ac:dyDescent="2.1">
      <c r="A46" s="12"/>
      <c r="B46" s="13" t="s">
        <v>65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2">
        <v>0</v>
      </c>
      <c r="Y46" s="14">
        <f t="shared" si="14"/>
        <v>0</v>
      </c>
      <c r="Z46" s="14">
        <f t="shared" si="15"/>
        <v>0</v>
      </c>
      <c r="AA46" s="13" t="s">
        <v>65</v>
      </c>
      <c r="AB46" s="188"/>
      <c r="AC46" s="189"/>
      <c r="AD46" s="16">
        <f t="shared" si="16"/>
        <v>0</v>
      </c>
      <c r="AE46" s="17"/>
      <c r="AF46" s="53"/>
      <c r="AG46" s="54"/>
      <c r="AH46" s="54"/>
      <c r="AI46" s="54"/>
      <c r="AJ46" s="55"/>
      <c r="AK46" s="168"/>
      <c r="AL46" s="167"/>
    </row>
    <row r="47" spans="1:40" s="47" customFormat="1" ht="110.25" customHeight="1" x14ac:dyDescent="2.1">
      <c r="A47" s="12"/>
      <c r="B47" s="13" t="s">
        <v>66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2">
        <v>0</v>
      </c>
      <c r="Y47" s="14">
        <f t="shared" si="14"/>
        <v>0</v>
      </c>
      <c r="Z47" s="14">
        <f t="shared" si="15"/>
        <v>0</v>
      </c>
      <c r="AA47" s="13" t="s">
        <v>66</v>
      </c>
      <c r="AB47" s="188"/>
      <c r="AC47" s="189"/>
      <c r="AD47" s="16">
        <f t="shared" si="16"/>
        <v>0</v>
      </c>
      <c r="AE47" s="17"/>
      <c r="AF47" s="190">
        <f>SUM(AD41:AD53)</f>
        <v>0</v>
      </c>
      <c r="AG47" s="191"/>
      <c r="AH47" s="191"/>
      <c r="AI47" s="191"/>
      <c r="AJ47" s="192"/>
      <c r="AK47" s="168"/>
      <c r="AL47" s="167"/>
    </row>
    <row r="48" spans="1:40" s="47" customFormat="1" ht="123.75" customHeight="1" x14ac:dyDescent="2.1">
      <c r="A48" s="12"/>
      <c r="B48" s="13" t="s">
        <v>67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2">
        <v>0</v>
      </c>
      <c r="Y48" s="14">
        <f t="shared" si="14"/>
        <v>0</v>
      </c>
      <c r="Z48" s="14">
        <f t="shared" si="15"/>
        <v>0</v>
      </c>
      <c r="AA48" s="13" t="s">
        <v>67</v>
      </c>
      <c r="AB48" s="188"/>
      <c r="AC48" s="189"/>
      <c r="AD48" s="16">
        <f t="shared" si="16"/>
        <v>0</v>
      </c>
      <c r="AE48" s="17"/>
      <c r="AF48" s="53"/>
      <c r="AG48" s="54"/>
      <c r="AH48" s="54"/>
      <c r="AI48" s="54"/>
      <c r="AJ48" s="55"/>
      <c r="AK48" s="168"/>
      <c r="AL48" s="167"/>
    </row>
    <row r="49" spans="1:40" s="47" customFormat="1" ht="146.25" customHeight="1" x14ac:dyDescent="2.1">
      <c r="A49" s="12"/>
      <c r="B49" s="13" t="s">
        <v>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6">
        <v>0</v>
      </c>
      <c r="Y49" s="14">
        <f t="shared" si="14"/>
        <v>0</v>
      </c>
      <c r="Z49" s="14">
        <f t="shared" si="15"/>
        <v>0</v>
      </c>
      <c r="AA49" s="13" t="s">
        <v>68</v>
      </c>
      <c r="AB49" s="188"/>
      <c r="AC49" s="189"/>
      <c r="AD49" s="16">
        <f t="shared" si="16"/>
        <v>0</v>
      </c>
      <c r="AE49" s="17"/>
      <c r="AF49" s="53"/>
      <c r="AG49" s="54"/>
      <c r="AH49" s="54"/>
      <c r="AI49" s="54"/>
      <c r="AJ49" s="55"/>
      <c r="AK49" s="168"/>
      <c r="AL49" s="167"/>
    </row>
    <row r="50" spans="1:40" s="47" customFormat="1" ht="108.75" customHeight="1" x14ac:dyDescent="2.1">
      <c r="A50" s="12"/>
      <c r="B50" s="13" t="s">
        <v>69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6">
        <v>0</v>
      </c>
      <c r="Y50" s="14">
        <f t="shared" si="14"/>
        <v>0</v>
      </c>
      <c r="Z50" s="14">
        <f t="shared" si="15"/>
        <v>0</v>
      </c>
      <c r="AA50" s="13" t="s">
        <v>69</v>
      </c>
      <c r="AB50" s="188"/>
      <c r="AC50" s="189"/>
      <c r="AD50" s="16">
        <f t="shared" si="16"/>
        <v>0</v>
      </c>
      <c r="AE50" s="17"/>
      <c r="AF50" s="53"/>
      <c r="AG50" s="54"/>
      <c r="AH50" s="54"/>
      <c r="AI50" s="54"/>
      <c r="AJ50" s="55"/>
      <c r="AK50" s="168"/>
      <c r="AL50" s="167"/>
    </row>
    <row r="51" spans="1:40" s="47" customFormat="1" ht="146.25" x14ac:dyDescent="2.1">
      <c r="A51" s="12"/>
      <c r="B51" s="13" t="s">
        <v>70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2">
        <v>0</v>
      </c>
      <c r="Y51" s="14">
        <f t="shared" si="14"/>
        <v>0</v>
      </c>
      <c r="Z51" s="14">
        <f t="shared" si="15"/>
        <v>0</v>
      </c>
      <c r="AA51" s="13" t="s">
        <v>70</v>
      </c>
      <c r="AB51" s="188"/>
      <c r="AC51" s="189"/>
      <c r="AD51" s="16">
        <f t="shared" si="16"/>
        <v>0</v>
      </c>
      <c r="AE51" s="17"/>
      <c r="AF51" s="53"/>
      <c r="AG51" s="54"/>
      <c r="AH51" s="54"/>
      <c r="AI51" s="54"/>
      <c r="AJ51" s="55"/>
      <c r="AK51" s="168"/>
      <c r="AL51" s="167"/>
    </row>
    <row r="52" spans="1:40" s="47" customFormat="1" ht="146.25" customHeight="1" x14ac:dyDescent="2.1">
      <c r="A52" s="12"/>
      <c r="B52" s="13" t="s">
        <v>71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2">
        <v>0</v>
      </c>
      <c r="Y52" s="14">
        <f t="shared" si="14"/>
        <v>0</v>
      </c>
      <c r="Z52" s="14">
        <f t="shared" si="15"/>
        <v>0</v>
      </c>
      <c r="AA52" s="13" t="s">
        <v>71</v>
      </c>
      <c r="AB52" s="59"/>
      <c r="AC52" s="60"/>
      <c r="AD52" s="16">
        <f t="shared" si="16"/>
        <v>0</v>
      </c>
      <c r="AE52" s="17"/>
      <c r="AF52" s="53"/>
      <c r="AG52" s="54"/>
      <c r="AH52" s="54"/>
      <c r="AI52" s="54"/>
      <c r="AJ52" s="55"/>
      <c r="AK52" s="168"/>
      <c r="AL52" s="167"/>
    </row>
    <row r="53" spans="1:40" s="47" customFormat="1" ht="108.75" customHeight="1" thickBot="1" x14ac:dyDescent="2.15">
      <c r="A53" s="12"/>
      <c r="B53" s="13" t="s">
        <v>72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2">
        <v>0</v>
      </c>
      <c r="Y53" s="14">
        <f t="shared" si="14"/>
        <v>0</v>
      </c>
      <c r="Z53" s="14">
        <f t="shared" si="15"/>
        <v>0</v>
      </c>
      <c r="AA53" s="13" t="s">
        <v>72</v>
      </c>
      <c r="AB53" s="59"/>
      <c r="AC53" s="60"/>
      <c r="AD53" s="16">
        <f t="shared" si="16"/>
        <v>0</v>
      </c>
      <c r="AE53" s="17"/>
      <c r="AF53" s="61"/>
      <c r="AG53" s="62"/>
      <c r="AH53" s="62"/>
      <c r="AI53" s="62"/>
      <c r="AJ53" s="63"/>
      <c r="AK53" s="168"/>
      <c r="AL53" s="167"/>
    </row>
    <row r="54" spans="1:40" s="47" customFormat="1" ht="110.25" customHeight="1" x14ac:dyDescent="2.1">
      <c r="A54" s="12"/>
      <c r="B54" s="13"/>
      <c r="C54" s="30">
        <f t="shared" ref="C54:W54" si="17">SUM(C41:C53)</f>
        <v>0</v>
      </c>
      <c r="D54" s="30">
        <f t="shared" si="17"/>
        <v>0</v>
      </c>
      <c r="E54" s="30">
        <f t="shared" si="17"/>
        <v>0</v>
      </c>
      <c r="F54" s="30">
        <f t="shared" si="17"/>
        <v>0</v>
      </c>
      <c r="G54" s="30">
        <f t="shared" si="17"/>
        <v>0</v>
      </c>
      <c r="H54" s="30">
        <f t="shared" si="17"/>
        <v>0</v>
      </c>
      <c r="I54" s="30">
        <f t="shared" si="17"/>
        <v>0</v>
      </c>
      <c r="J54" s="30">
        <f t="shared" si="17"/>
        <v>0</v>
      </c>
      <c r="K54" s="30">
        <f t="shared" si="17"/>
        <v>0</v>
      </c>
      <c r="L54" s="30">
        <f t="shared" si="17"/>
        <v>0</v>
      </c>
      <c r="M54" s="30">
        <f t="shared" si="17"/>
        <v>0</v>
      </c>
      <c r="N54" s="30">
        <f t="shared" si="17"/>
        <v>0</v>
      </c>
      <c r="O54" s="30">
        <f t="shared" si="17"/>
        <v>0</v>
      </c>
      <c r="P54" s="30">
        <f t="shared" si="17"/>
        <v>0</v>
      </c>
      <c r="Q54" s="30">
        <f t="shared" si="17"/>
        <v>0</v>
      </c>
      <c r="R54" s="30">
        <f t="shared" si="17"/>
        <v>0</v>
      </c>
      <c r="S54" s="30">
        <f t="shared" si="17"/>
        <v>0</v>
      </c>
      <c r="T54" s="30">
        <f t="shared" si="17"/>
        <v>0</v>
      </c>
      <c r="U54" s="30">
        <f t="shared" si="17"/>
        <v>0</v>
      </c>
      <c r="V54" s="30">
        <f t="shared" si="17"/>
        <v>0</v>
      </c>
      <c r="W54" s="30">
        <f t="shared" si="17"/>
        <v>0</v>
      </c>
      <c r="X54" s="113">
        <v>0</v>
      </c>
      <c r="Y54" s="14"/>
      <c r="Z54" s="14"/>
      <c r="AA54" s="13"/>
      <c r="AB54" s="183"/>
      <c r="AC54" s="184"/>
      <c r="AD54" s="16">
        <f t="shared" si="16"/>
        <v>0</v>
      </c>
      <c r="AE54" s="17"/>
      <c r="AF54" s="54"/>
      <c r="AG54" s="54"/>
      <c r="AH54" s="54"/>
      <c r="AI54" s="54"/>
      <c r="AJ54" s="54"/>
      <c r="AK54" s="166"/>
      <c r="AL54" s="167"/>
    </row>
    <row r="55" spans="1:40" s="12" customFormat="1" ht="110.25" customHeight="1" x14ac:dyDescent="2.1">
      <c r="B55" s="13" t="s">
        <v>73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2">
        <v>0</v>
      </c>
      <c r="Y55" s="14">
        <f>SUM(C55,E55,G55,I55,K55,,M55,O55,Q55,S55,U55,W55)</f>
        <v>0</v>
      </c>
      <c r="Z55" s="14">
        <f>SUM(D55,F55,H55,J55,L55,,N55,P55,R55,T55,V55)</f>
        <v>0</v>
      </c>
      <c r="AA55" s="13" t="s">
        <v>73</v>
      </c>
      <c r="AB55" s="172"/>
      <c r="AC55" s="173"/>
      <c r="AD55" s="16">
        <f t="shared" si="16"/>
        <v>0</v>
      </c>
      <c r="AE55" s="17"/>
      <c r="AF55" s="2"/>
      <c r="AG55" s="2"/>
      <c r="AH55" s="2"/>
      <c r="AI55" s="2"/>
      <c r="AJ55" s="2"/>
      <c r="AK55" s="166"/>
      <c r="AL55" s="167"/>
      <c r="AM55" s="4"/>
      <c r="AN55" s="4"/>
    </row>
    <row r="56" spans="1:40" s="64" customFormat="1" ht="23.25" customHeight="1" x14ac:dyDescent="2.1">
      <c r="B56" s="65"/>
      <c r="C56" s="14">
        <v>0</v>
      </c>
      <c r="D56" s="14"/>
      <c r="E56" s="14">
        <v>0</v>
      </c>
      <c r="F56" s="14"/>
      <c r="G56" s="14">
        <v>0</v>
      </c>
      <c r="H56" s="14"/>
      <c r="I56" s="14">
        <v>0</v>
      </c>
      <c r="J56" s="14"/>
      <c r="K56" s="14">
        <v>0</v>
      </c>
      <c r="L56" s="14"/>
      <c r="M56" s="14">
        <v>0</v>
      </c>
      <c r="N56" s="14"/>
      <c r="O56" s="14">
        <v>0</v>
      </c>
      <c r="P56" s="14"/>
      <c r="Q56" s="14">
        <v>0</v>
      </c>
      <c r="R56" s="14"/>
      <c r="S56" s="14">
        <v>0</v>
      </c>
      <c r="T56" s="14"/>
      <c r="U56" s="14">
        <v>0</v>
      </c>
      <c r="V56" s="14"/>
      <c r="W56" s="14">
        <v>0</v>
      </c>
      <c r="X56" s="112">
        <v>0</v>
      </c>
      <c r="Y56" s="14">
        <f>SUM(D56,F56,H56,J56,L56,,N56,P56,R56,T56,V56,W56)</f>
        <v>0</v>
      </c>
      <c r="Z56" s="14">
        <f>SUM(C56,E56,G56,I56,K56,,M56,O56,Q56,S56,U56)</f>
        <v>0</v>
      </c>
      <c r="AA56" s="65"/>
      <c r="AB56" s="66"/>
      <c r="AC56" s="66"/>
      <c r="AD56" s="16">
        <f t="shared" si="16"/>
        <v>0</v>
      </c>
      <c r="AE56" s="17"/>
      <c r="AF56" s="2"/>
      <c r="AG56" s="2"/>
      <c r="AH56" s="2"/>
      <c r="AI56" s="2"/>
      <c r="AJ56" s="2"/>
      <c r="AK56" s="166"/>
      <c r="AL56" s="167"/>
      <c r="AM56" s="67"/>
      <c r="AN56" s="67"/>
    </row>
    <row r="57" spans="1:40" ht="108.75" customHeight="1" x14ac:dyDescent="2.1">
      <c r="B57" s="15" t="s">
        <v>74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12">
        <v>0</v>
      </c>
      <c r="Y57" s="14">
        <f>SUM(C57,E57,G57,I57,K57,,M57,O57,Q57,S57,U57,W57)</f>
        <v>0</v>
      </c>
      <c r="Z57" s="14">
        <f>SUM(D57,F57,H57,J57,L57,,N57,P57,R57,T57,V57)</f>
        <v>0</v>
      </c>
      <c r="AA57" s="68" t="s">
        <v>75</v>
      </c>
      <c r="AB57" s="21">
        <f>Y57*4</f>
        <v>0</v>
      </c>
      <c r="AC57" s="159">
        <f>SUM(C59:W59)</f>
        <v>0</v>
      </c>
      <c r="AD57" s="16">
        <f t="shared" si="16"/>
        <v>0</v>
      </c>
      <c r="AE57" s="17"/>
      <c r="AF57" s="69"/>
      <c r="AG57" s="69"/>
      <c r="AK57" s="166"/>
      <c r="AL57" s="167"/>
    </row>
    <row r="58" spans="1:40" ht="108.75" customHeight="1" x14ac:dyDescent="2.1">
      <c r="B58" s="15" t="s">
        <v>76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12">
        <v>0</v>
      </c>
      <c r="Y58" s="14">
        <f>SUM(C58,E58,G58,I58,K58,,M58,O58,Q58,S58,U58,W58)</f>
        <v>0</v>
      </c>
      <c r="Z58" s="14">
        <f>SUM(D58,F58,H58,J58,L58,,N58,P58,R58,T58,V58)</f>
        <v>0</v>
      </c>
      <c r="AA58" s="68" t="s">
        <v>76</v>
      </c>
      <c r="AB58" s="21">
        <f>Y58*4</f>
        <v>0</v>
      </c>
      <c r="AC58" s="161"/>
      <c r="AD58" s="16">
        <f t="shared" si="16"/>
        <v>0</v>
      </c>
      <c r="AE58" s="17"/>
      <c r="AK58" s="166"/>
      <c r="AL58" s="167"/>
    </row>
    <row r="59" spans="1:40" ht="110.25" customHeight="1" x14ac:dyDescent="2.1">
      <c r="B59" s="15"/>
      <c r="C59" s="30">
        <f>(C57+C58)*4</f>
        <v>0</v>
      </c>
      <c r="D59" s="30">
        <f t="shared" ref="D59:W59" si="18">(D57+D58)*4</f>
        <v>0</v>
      </c>
      <c r="E59" s="30">
        <f t="shared" si="18"/>
        <v>0</v>
      </c>
      <c r="F59" s="30">
        <f t="shared" si="18"/>
        <v>0</v>
      </c>
      <c r="G59" s="30">
        <f t="shared" si="18"/>
        <v>0</v>
      </c>
      <c r="H59" s="30">
        <f t="shared" si="18"/>
        <v>0</v>
      </c>
      <c r="I59" s="30">
        <f t="shared" si="18"/>
        <v>0</v>
      </c>
      <c r="J59" s="30">
        <f t="shared" si="18"/>
        <v>0</v>
      </c>
      <c r="K59" s="30">
        <f t="shared" si="18"/>
        <v>0</v>
      </c>
      <c r="L59" s="30">
        <f t="shared" si="18"/>
        <v>0</v>
      </c>
      <c r="M59" s="30">
        <f t="shared" si="18"/>
        <v>0</v>
      </c>
      <c r="N59" s="30">
        <f t="shared" si="18"/>
        <v>0</v>
      </c>
      <c r="O59" s="30">
        <f t="shared" si="18"/>
        <v>0</v>
      </c>
      <c r="P59" s="30">
        <f t="shared" si="18"/>
        <v>0</v>
      </c>
      <c r="Q59" s="30">
        <f t="shared" si="18"/>
        <v>0</v>
      </c>
      <c r="R59" s="30">
        <f t="shared" si="18"/>
        <v>0</v>
      </c>
      <c r="S59" s="30">
        <f t="shared" si="18"/>
        <v>0</v>
      </c>
      <c r="T59" s="30">
        <f t="shared" si="18"/>
        <v>0</v>
      </c>
      <c r="U59" s="30">
        <f t="shared" si="18"/>
        <v>0</v>
      </c>
      <c r="V59" s="30">
        <f t="shared" si="18"/>
        <v>0</v>
      </c>
      <c r="W59" s="30">
        <f t="shared" si="18"/>
        <v>0</v>
      </c>
      <c r="X59" s="113"/>
      <c r="Y59" s="14"/>
      <c r="Z59" s="14"/>
      <c r="AA59" s="68"/>
      <c r="AB59" s="193"/>
      <c r="AC59" s="194"/>
      <c r="AD59" s="33">
        <f t="shared" si="16"/>
        <v>0</v>
      </c>
      <c r="AE59" s="17"/>
      <c r="AK59" s="166"/>
      <c r="AL59" s="167"/>
    </row>
    <row r="60" spans="1:40" ht="123.75" customHeight="1" x14ac:dyDescent="2.1">
      <c r="B60" s="130" t="s">
        <v>77</v>
      </c>
      <c r="C60" s="128" t="s">
        <v>2</v>
      </c>
      <c r="D60" s="129"/>
      <c r="E60" s="128" t="s">
        <v>3</v>
      </c>
      <c r="F60" s="129"/>
      <c r="G60" s="128" t="s">
        <v>4</v>
      </c>
      <c r="H60" s="129"/>
      <c r="I60" s="128" t="s">
        <v>5</v>
      </c>
      <c r="J60" s="129"/>
      <c r="K60" s="128" t="s">
        <v>6</v>
      </c>
      <c r="L60" s="129"/>
      <c r="M60" s="128" t="s">
        <v>7</v>
      </c>
      <c r="N60" s="129"/>
      <c r="O60" s="128" t="s">
        <v>8</v>
      </c>
      <c r="P60" s="129"/>
      <c r="Q60" s="128" t="s">
        <v>9</v>
      </c>
      <c r="R60" s="129"/>
      <c r="S60" s="128" t="s">
        <v>10</v>
      </c>
      <c r="T60" s="129"/>
      <c r="U60" s="128" t="s">
        <v>11</v>
      </c>
      <c r="V60" s="129"/>
      <c r="W60" s="130" t="s">
        <v>12</v>
      </c>
      <c r="X60" s="110"/>
      <c r="Y60" s="130" t="s">
        <v>13</v>
      </c>
      <c r="Z60" s="130" t="s">
        <v>14</v>
      </c>
      <c r="AA60" s="130" t="s">
        <v>77</v>
      </c>
      <c r="AB60" s="134"/>
      <c r="AC60" s="135"/>
      <c r="AD60" s="6" t="s">
        <v>16</v>
      </c>
      <c r="AE60" s="7"/>
      <c r="AK60" s="70"/>
      <c r="AL60" s="71"/>
    </row>
    <row r="61" spans="1:40" s="4" customFormat="1" ht="138" customHeight="1" thickBot="1" x14ac:dyDescent="2.4">
      <c r="B61" s="131"/>
      <c r="C61" s="9" t="s">
        <v>17</v>
      </c>
      <c r="D61" s="9" t="s">
        <v>18</v>
      </c>
      <c r="E61" s="9" t="s">
        <v>17</v>
      </c>
      <c r="F61" s="9" t="s">
        <v>18</v>
      </c>
      <c r="G61" s="9" t="s">
        <v>17</v>
      </c>
      <c r="H61" s="9" t="s">
        <v>18</v>
      </c>
      <c r="I61" s="9" t="s">
        <v>17</v>
      </c>
      <c r="J61" s="9" t="s">
        <v>18</v>
      </c>
      <c r="K61" s="9" t="s">
        <v>17</v>
      </c>
      <c r="L61" s="9" t="s">
        <v>18</v>
      </c>
      <c r="M61" s="9" t="s">
        <v>17</v>
      </c>
      <c r="N61" s="9" t="s">
        <v>18</v>
      </c>
      <c r="O61" s="9" t="s">
        <v>17</v>
      </c>
      <c r="P61" s="9" t="s">
        <v>18</v>
      </c>
      <c r="Q61" s="9" t="s">
        <v>17</v>
      </c>
      <c r="R61" s="9" t="s">
        <v>18</v>
      </c>
      <c r="S61" s="9" t="s">
        <v>17</v>
      </c>
      <c r="T61" s="9" t="s">
        <v>18</v>
      </c>
      <c r="U61" s="9" t="s">
        <v>17</v>
      </c>
      <c r="V61" s="9" t="s">
        <v>18</v>
      </c>
      <c r="W61" s="131"/>
      <c r="X61" s="111"/>
      <c r="Y61" s="131"/>
      <c r="Z61" s="131"/>
      <c r="AA61" s="131"/>
      <c r="AB61" s="10"/>
      <c r="AC61" s="11"/>
      <c r="AD61" s="6"/>
      <c r="AE61" s="7"/>
      <c r="AF61" s="2"/>
      <c r="AG61" s="2"/>
      <c r="AH61" s="2"/>
      <c r="AI61" s="2"/>
      <c r="AJ61" s="2"/>
      <c r="AK61" s="8"/>
      <c r="AL61" s="8"/>
    </row>
    <row r="62" spans="1:40" s="12" customFormat="1" ht="113.25" customHeight="1" x14ac:dyDescent="2.1">
      <c r="B62" s="13" t="s">
        <v>78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12">
        <v>0</v>
      </c>
      <c r="Y62" s="14">
        <f t="shared" ref="Y62:Y68" si="19">SUM(C62,E62,G62,I62,K62,,M62,O62,Q62,S62,U62,W62)</f>
        <v>0</v>
      </c>
      <c r="Z62" s="14">
        <f t="shared" ref="Z62:Z68" si="20">SUM(D62,F62,H62,J62,L62,,N62,P62,R62,T62,V62)</f>
        <v>0</v>
      </c>
      <c r="AA62" s="13" t="s">
        <v>78</v>
      </c>
      <c r="AB62" s="174">
        <f>SUM(Y62:Y68)</f>
        <v>0</v>
      </c>
      <c r="AC62" s="175"/>
      <c r="AD62" s="16">
        <f>X62</f>
        <v>0</v>
      </c>
      <c r="AE62" s="17"/>
      <c r="AF62" s="72"/>
      <c r="AG62" s="73"/>
      <c r="AH62" s="73"/>
      <c r="AI62" s="73"/>
      <c r="AJ62" s="74"/>
      <c r="AK62" s="70"/>
      <c r="AL62" s="71"/>
    </row>
    <row r="63" spans="1:40" s="12" customFormat="1" ht="113.25" customHeight="1" x14ac:dyDescent="2.1">
      <c r="B63" s="13" t="s">
        <v>79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12">
        <v>0</v>
      </c>
      <c r="Y63" s="14">
        <f t="shared" si="19"/>
        <v>0</v>
      </c>
      <c r="Z63" s="14">
        <f t="shared" si="20"/>
        <v>0</v>
      </c>
      <c r="AA63" s="13" t="s">
        <v>79</v>
      </c>
      <c r="AB63" s="188"/>
      <c r="AC63" s="189"/>
      <c r="AD63" s="16">
        <f t="shared" ref="AD63:AD68" si="21">X63</f>
        <v>0</v>
      </c>
      <c r="AE63" s="17"/>
      <c r="AF63" s="195" t="s">
        <v>77</v>
      </c>
      <c r="AG63" s="191"/>
      <c r="AH63" s="191"/>
      <c r="AI63" s="191"/>
      <c r="AJ63" s="192"/>
      <c r="AK63" s="70"/>
      <c r="AL63" s="71"/>
    </row>
    <row r="64" spans="1:40" s="12" customFormat="1" ht="113.25" customHeight="1" x14ac:dyDescent="2.1">
      <c r="B64" s="13" t="s">
        <v>80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12">
        <v>0</v>
      </c>
      <c r="Y64" s="14">
        <f t="shared" si="19"/>
        <v>0</v>
      </c>
      <c r="Z64" s="14">
        <f t="shared" si="20"/>
        <v>0</v>
      </c>
      <c r="AA64" s="13" t="s">
        <v>80</v>
      </c>
      <c r="AB64" s="188"/>
      <c r="AC64" s="189"/>
      <c r="AD64" s="16">
        <f t="shared" si="21"/>
        <v>0</v>
      </c>
      <c r="AE64" s="17"/>
      <c r="AF64" s="190">
        <f>SUM(AD62:AD68)</f>
        <v>0</v>
      </c>
      <c r="AG64" s="196"/>
      <c r="AH64" s="196"/>
      <c r="AI64" s="196"/>
      <c r="AJ64" s="197"/>
      <c r="AK64" s="70"/>
      <c r="AL64" s="71"/>
    </row>
    <row r="65" spans="2:40" s="12" customFormat="1" ht="113.25" customHeight="1" x14ac:dyDescent="2.1">
      <c r="B65" s="13" t="s">
        <v>81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2">
        <v>0</v>
      </c>
      <c r="Y65" s="14">
        <f t="shared" si="19"/>
        <v>0</v>
      </c>
      <c r="Z65" s="14">
        <f t="shared" si="20"/>
        <v>0</v>
      </c>
      <c r="AA65" s="13" t="s">
        <v>81</v>
      </c>
      <c r="AB65" s="188"/>
      <c r="AC65" s="189"/>
      <c r="AD65" s="16">
        <f t="shared" si="21"/>
        <v>0</v>
      </c>
      <c r="AE65" s="17"/>
      <c r="AF65" s="56"/>
      <c r="AG65" s="54"/>
      <c r="AH65" s="54"/>
      <c r="AI65" s="54"/>
      <c r="AJ65" s="55"/>
      <c r="AK65" s="70"/>
      <c r="AL65" s="71"/>
    </row>
    <row r="66" spans="2:40" s="12" customFormat="1" ht="113.25" customHeight="1" x14ac:dyDescent="2.1">
      <c r="B66" s="13" t="s">
        <v>82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2">
        <v>0</v>
      </c>
      <c r="Y66" s="14">
        <f t="shared" si="19"/>
        <v>0</v>
      </c>
      <c r="Z66" s="14">
        <f t="shared" si="20"/>
        <v>0</v>
      </c>
      <c r="AA66" s="13" t="s">
        <v>82</v>
      </c>
      <c r="AB66" s="188"/>
      <c r="AC66" s="189"/>
      <c r="AD66" s="16">
        <f t="shared" si="21"/>
        <v>0</v>
      </c>
      <c r="AE66" s="17"/>
      <c r="AF66" s="56"/>
      <c r="AG66" s="54"/>
      <c r="AH66" s="54"/>
      <c r="AI66" s="54"/>
      <c r="AJ66" s="55"/>
      <c r="AK66" s="70"/>
      <c r="AL66" s="71"/>
    </row>
    <row r="67" spans="2:40" s="12" customFormat="1" ht="113.25" customHeight="1" x14ac:dyDescent="2.1">
      <c r="B67" s="13" t="s">
        <v>83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2">
        <v>0</v>
      </c>
      <c r="Y67" s="14">
        <f t="shared" si="19"/>
        <v>0</v>
      </c>
      <c r="Z67" s="14">
        <f t="shared" si="20"/>
        <v>0</v>
      </c>
      <c r="AA67" s="13" t="s">
        <v>83</v>
      </c>
      <c r="AB67" s="176"/>
      <c r="AC67" s="177"/>
      <c r="AD67" s="16">
        <f t="shared" si="21"/>
        <v>0</v>
      </c>
      <c r="AE67" s="17"/>
      <c r="AF67" s="58"/>
      <c r="AG67" s="2"/>
      <c r="AH67" s="2"/>
      <c r="AI67" s="2"/>
      <c r="AJ67" s="57"/>
      <c r="AK67" s="70"/>
      <c r="AL67" s="71"/>
    </row>
    <row r="68" spans="2:40" s="12" customFormat="1" ht="113.25" customHeight="1" x14ac:dyDescent="2.1">
      <c r="B68" s="13" t="s">
        <v>84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2">
        <v>0</v>
      </c>
      <c r="Y68" s="14">
        <f t="shared" si="19"/>
        <v>0</v>
      </c>
      <c r="Z68" s="14">
        <f t="shared" si="20"/>
        <v>0</v>
      </c>
      <c r="AA68" s="13" t="s">
        <v>84</v>
      </c>
      <c r="AB68" s="172"/>
      <c r="AC68" s="173"/>
      <c r="AD68" s="16">
        <f t="shared" si="21"/>
        <v>0</v>
      </c>
      <c r="AE68" s="17"/>
      <c r="AF68" s="2"/>
      <c r="AG68" s="2"/>
      <c r="AH68" s="2"/>
      <c r="AI68" s="2"/>
      <c r="AJ68" s="2"/>
      <c r="AK68" s="70"/>
      <c r="AL68" s="71"/>
    </row>
    <row r="69" spans="2:40" s="12" customFormat="1" ht="113.25" customHeight="1" x14ac:dyDescent="2.1">
      <c r="B69" s="13"/>
      <c r="C69" s="30">
        <f t="shared" ref="C69:W69" si="22">SUM(C62:C68)</f>
        <v>0</v>
      </c>
      <c r="D69" s="30">
        <f t="shared" si="22"/>
        <v>0</v>
      </c>
      <c r="E69" s="30">
        <f t="shared" si="22"/>
        <v>0</v>
      </c>
      <c r="F69" s="30">
        <f t="shared" si="22"/>
        <v>0</v>
      </c>
      <c r="G69" s="30">
        <f t="shared" si="22"/>
        <v>0</v>
      </c>
      <c r="H69" s="30">
        <f t="shared" si="22"/>
        <v>0</v>
      </c>
      <c r="I69" s="30">
        <f t="shared" si="22"/>
        <v>0</v>
      </c>
      <c r="J69" s="30">
        <f t="shared" si="22"/>
        <v>0</v>
      </c>
      <c r="K69" s="30">
        <f t="shared" si="22"/>
        <v>0</v>
      </c>
      <c r="L69" s="30">
        <f t="shared" si="22"/>
        <v>0</v>
      </c>
      <c r="M69" s="30">
        <f t="shared" si="22"/>
        <v>0</v>
      </c>
      <c r="N69" s="30">
        <f t="shared" si="22"/>
        <v>0</v>
      </c>
      <c r="O69" s="30">
        <f t="shared" si="22"/>
        <v>0</v>
      </c>
      <c r="P69" s="30">
        <f t="shared" si="22"/>
        <v>0</v>
      </c>
      <c r="Q69" s="30">
        <f t="shared" si="22"/>
        <v>0</v>
      </c>
      <c r="R69" s="30">
        <f t="shared" si="22"/>
        <v>0</v>
      </c>
      <c r="S69" s="30">
        <f t="shared" si="22"/>
        <v>0</v>
      </c>
      <c r="T69" s="30">
        <f t="shared" si="22"/>
        <v>0</v>
      </c>
      <c r="U69" s="30">
        <f t="shared" si="22"/>
        <v>0</v>
      </c>
      <c r="V69" s="30">
        <f t="shared" si="22"/>
        <v>0</v>
      </c>
      <c r="W69" s="30">
        <f t="shared" si="22"/>
        <v>0</v>
      </c>
      <c r="X69" s="113"/>
      <c r="Y69" s="14"/>
      <c r="Z69" s="14"/>
      <c r="AA69" s="13"/>
      <c r="AB69" s="172"/>
      <c r="AC69" s="173"/>
      <c r="AD69" s="16">
        <v>0</v>
      </c>
      <c r="AE69" s="17"/>
      <c r="AF69" s="2"/>
      <c r="AG69" s="2"/>
      <c r="AH69" s="2"/>
      <c r="AI69" s="2"/>
      <c r="AJ69" s="2"/>
      <c r="AK69" s="70"/>
      <c r="AL69" s="71"/>
    </row>
    <row r="70" spans="2:40" s="4" customFormat="1" ht="132" customHeight="1" thickBot="1" x14ac:dyDescent="2.4">
      <c r="B70" s="48" t="s">
        <v>1</v>
      </c>
      <c r="C70" s="128" t="s">
        <v>2</v>
      </c>
      <c r="D70" s="129"/>
      <c r="E70" s="128" t="s">
        <v>3</v>
      </c>
      <c r="F70" s="129"/>
      <c r="G70" s="128" t="s">
        <v>4</v>
      </c>
      <c r="H70" s="129"/>
      <c r="I70" s="128" t="s">
        <v>5</v>
      </c>
      <c r="J70" s="129"/>
      <c r="K70" s="128" t="s">
        <v>6</v>
      </c>
      <c r="L70" s="129"/>
      <c r="M70" s="128" t="s">
        <v>7</v>
      </c>
      <c r="N70" s="129"/>
      <c r="O70" s="128" t="s">
        <v>8</v>
      </c>
      <c r="P70" s="129"/>
      <c r="Q70" s="128" t="s">
        <v>9</v>
      </c>
      <c r="R70" s="129"/>
      <c r="S70" s="128" t="s">
        <v>10</v>
      </c>
      <c r="T70" s="129"/>
      <c r="U70" s="128" t="s">
        <v>11</v>
      </c>
      <c r="V70" s="129"/>
      <c r="W70" s="9" t="s">
        <v>12</v>
      </c>
      <c r="X70" s="118"/>
      <c r="Y70" s="49" t="s">
        <v>13</v>
      </c>
      <c r="Z70" s="49" t="s">
        <v>14</v>
      </c>
      <c r="AA70" s="48" t="s">
        <v>1</v>
      </c>
      <c r="AB70" s="134"/>
      <c r="AC70" s="135"/>
      <c r="AD70" s="6" t="s">
        <v>16</v>
      </c>
      <c r="AE70" s="7"/>
      <c r="AF70" s="2"/>
      <c r="AG70" s="2"/>
      <c r="AH70" s="2"/>
      <c r="AI70" s="2"/>
      <c r="AJ70" s="2"/>
      <c r="AK70" s="8"/>
      <c r="AL70" s="8"/>
      <c r="AM70" s="12"/>
      <c r="AN70" s="12"/>
    </row>
    <row r="71" spans="2:40" s="12" customFormat="1" ht="113.25" customHeight="1" x14ac:dyDescent="2.1">
      <c r="B71" s="13" t="s">
        <v>85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12">
        <v>0</v>
      </c>
      <c r="Y71" s="14">
        <f>SUM(C71,E71,G71,I71,K71,,M71,O71,Q71,S71,U71,W71)</f>
        <v>0</v>
      </c>
      <c r="Z71" s="14">
        <f>SUM(D71,F71,H71,J71,L71,,N71,P71,R71,T71,V71)</f>
        <v>0</v>
      </c>
      <c r="AA71" s="13" t="s">
        <v>85</v>
      </c>
      <c r="AB71" s="174">
        <f>SUM(Y71:Y72)</f>
        <v>0</v>
      </c>
      <c r="AC71" s="175"/>
      <c r="AD71" s="16">
        <f>X71</f>
        <v>0</v>
      </c>
      <c r="AE71" s="17"/>
      <c r="AF71" s="198" t="s">
        <v>86</v>
      </c>
      <c r="AG71" s="199"/>
      <c r="AH71" s="199"/>
      <c r="AI71" s="199"/>
      <c r="AJ71" s="199"/>
      <c r="AK71" s="203">
        <f>SUM(AD71:AD81)</f>
        <v>0</v>
      </c>
      <c r="AL71" s="204"/>
      <c r="AM71" s="29"/>
      <c r="AN71" s="29"/>
    </row>
    <row r="72" spans="2:40" s="29" customFormat="1" ht="113.25" customHeight="1" thickBot="1" x14ac:dyDescent="2.15">
      <c r="B72" s="38" t="s">
        <v>87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12">
        <v>0</v>
      </c>
      <c r="Y72" s="14">
        <f>SUM(C72,E72,G72,I72,K72,,M72,O72,Q72,S72,U72,W72)</f>
        <v>0</v>
      </c>
      <c r="Z72" s="14">
        <f>SUM(D72,F72,H72,J72,L72,,N72,P72,R72,T72,V72)</f>
        <v>0</v>
      </c>
      <c r="AA72" s="38" t="s">
        <v>87</v>
      </c>
      <c r="AB72" s="176"/>
      <c r="AC72" s="177"/>
      <c r="AD72" s="16">
        <f t="shared" ref="AD72:AD86" si="23">X72</f>
        <v>0</v>
      </c>
      <c r="AE72" s="75"/>
      <c r="AF72" s="169">
        <f>+AD71+AD72</f>
        <v>0</v>
      </c>
      <c r="AG72" s="200"/>
      <c r="AH72" s="200"/>
      <c r="AI72" s="200"/>
      <c r="AJ72" s="200"/>
      <c r="AK72" s="205"/>
      <c r="AL72" s="206"/>
      <c r="AM72" s="12"/>
      <c r="AN72" s="12"/>
    </row>
    <row r="73" spans="2:40" s="29" customFormat="1" ht="113.25" customHeight="1" thickBot="1" x14ac:dyDescent="2.15">
      <c r="B73" s="38"/>
      <c r="C73" s="30">
        <f>SUM(C71:C72)</f>
        <v>0</v>
      </c>
      <c r="D73" s="30">
        <f t="shared" ref="D73:W73" si="24">SUM(D71:D72)</f>
        <v>0</v>
      </c>
      <c r="E73" s="30">
        <f t="shared" si="24"/>
        <v>0</v>
      </c>
      <c r="F73" s="30">
        <f t="shared" si="24"/>
        <v>0</v>
      </c>
      <c r="G73" s="30">
        <f t="shared" si="24"/>
        <v>0</v>
      </c>
      <c r="H73" s="30">
        <f t="shared" si="24"/>
        <v>0</v>
      </c>
      <c r="I73" s="30">
        <f t="shared" si="24"/>
        <v>0</v>
      </c>
      <c r="J73" s="30">
        <f t="shared" si="24"/>
        <v>0</v>
      </c>
      <c r="K73" s="30">
        <f t="shared" si="24"/>
        <v>0</v>
      </c>
      <c r="L73" s="30">
        <f t="shared" si="24"/>
        <v>0</v>
      </c>
      <c r="M73" s="30">
        <f t="shared" si="24"/>
        <v>0</v>
      </c>
      <c r="N73" s="30">
        <f t="shared" si="24"/>
        <v>0</v>
      </c>
      <c r="O73" s="30">
        <f t="shared" si="24"/>
        <v>0</v>
      </c>
      <c r="P73" s="30">
        <f t="shared" si="24"/>
        <v>0</v>
      </c>
      <c r="Q73" s="30">
        <f t="shared" si="24"/>
        <v>0</v>
      </c>
      <c r="R73" s="30">
        <f t="shared" si="24"/>
        <v>0</v>
      </c>
      <c r="S73" s="30">
        <f t="shared" si="24"/>
        <v>0</v>
      </c>
      <c r="T73" s="30">
        <f t="shared" si="24"/>
        <v>0</v>
      </c>
      <c r="U73" s="30">
        <f t="shared" si="24"/>
        <v>0</v>
      </c>
      <c r="V73" s="30">
        <f t="shared" si="24"/>
        <v>0</v>
      </c>
      <c r="W73" s="30">
        <f t="shared" si="24"/>
        <v>0</v>
      </c>
      <c r="X73" s="113">
        <v>0</v>
      </c>
      <c r="Y73" s="14"/>
      <c r="Z73" s="14"/>
      <c r="AA73" s="38"/>
      <c r="AB73" s="207"/>
      <c r="AC73" s="208"/>
      <c r="AD73" s="16">
        <f t="shared" si="23"/>
        <v>0</v>
      </c>
      <c r="AE73" s="75"/>
      <c r="AF73" s="44"/>
      <c r="AG73" s="76"/>
      <c r="AH73" s="76"/>
      <c r="AI73" s="76"/>
      <c r="AJ73" s="76"/>
      <c r="AK73" s="205"/>
      <c r="AL73" s="206"/>
      <c r="AM73" s="12"/>
      <c r="AN73" s="12"/>
    </row>
    <row r="74" spans="2:40" s="12" customFormat="1" ht="113.25" customHeight="1" x14ac:dyDescent="2.1">
      <c r="B74" s="13" t="s">
        <v>88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16">
        <v>0</v>
      </c>
      <c r="Y74" s="14">
        <f t="shared" ref="Y74:Y86" si="25">SUM(C74,E74,G74,I74,K74,,M74,O74,Q74,S74,U74,W74)</f>
        <v>0</v>
      </c>
      <c r="Z74" s="14">
        <f t="shared" ref="Z74:Z86" si="26">SUM(D74,F74,H74,J74,L74,,N74,P74,R74,T74,V74)</f>
        <v>0</v>
      </c>
      <c r="AA74" s="13" t="s">
        <v>88</v>
      </c>
      <c r="AB74" s="174">
        <f>SUM(Y74:Y75)</f>
        <v>0</v>
      </c>
      <c r="AC74" s="175"/>
      <c r="AD74" s="16">
        <f t="shared" si="23"/>
        <v>0</v>
      </c>
      <c r="AE74" s="17"/>
      <c r="AF74" s="178" t="s">
        <v>89</v>
      </c>
      <c r="AG74" s="179"/>
      <c r="AH74" s="179"/>
      <c r="AI74" s="179"/>
      <c r="AJ74" s="179"/>
      <c r="AK74" s="205"/>
      <c r="AL74" s="206"/>
    </row>
    <row r="75" spans="2:40" s="12" customFormat="1" ht="113.25" customHeight="1" thickBot="1" x14ac:dyDescent="2.15">
      <c r="B75" s="13" t="s">
        <v>90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16">
        <v>0</v>
      </c>
      <c r="Y75" s="14">
        <f t="shared" si="25"/>
        <v>0</v>
      </c>
      <c r="Z75" s="14">
        <f t="shared" si="26"/>
        <v>0</v>
      </c>
      <c r="AA75" s="13" t="s">
        <v>90</v>
      </c>
      <c r="AB75" s="176"/>
      <c r="AC75" s="177"/>
      <c r="AD75" s="16">
        <f t="shared" si="23"/>
        <v>0</v>
      </c>
      <c r="AE75" s="17"/>
      <c r="AF75" s="169">
        <f>+AD74+AD75</f>
        <v>0</v>
      </c>
      <c r="AG75" s="200"/>
      <c r="AH75" s="200"/>
      <c r="AI75" s="200"/>
      <c r="AJ75" s="200"/>
      <c r="AK75" s="205"/>
      <c r="AL75" s="206"/>
    </row>
    <row r="76" spans="2:40" s="12" customFormat="1" ht="113.25" customHeight="1" x14ac:dyDescent="2.1">
      <c r="B76" s="13" t="s">
        <v>91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12">
        <v>0</v>
      </c>
      <c r="Y76" s="14">
        <f t="shared" si="25"/>
        <v>0</v>
      </c>
      <c r="Z76" s="14">
        <f t="shared" si="26"/>
        <v>0</v>
      </c>
      <c r="AA76" s="13" t="s">
        <v>91</v>
      </c>
      <c r="AB76" s="174">
        <f>SUM(Y76:Y77)</f>
        <v>0</v>
      </c>
      <c r="AC76" s="175"/>
      <c r="AD76" s="16">
        <f t="shared" si="23"/>
        <v>0</v>
      </c>
      <c r="AE76" s="17"/>
      <c r="AF76" s="178" t="s">
        <v>92</v>
      </c>
      <c r="AG76" s="179"/>
      <c r="AH76" s="179"/>
      <c r="AI76" s="179"/>
      <c r="AJ76" s="179"/>
      <c r="AK76" s="205"/>
      <c r="AL76" s="206"/>
    </row>
    <row r="77" spans="2:40" s="12" customFormat="1" ht="113.25" customHeight="1" thickBot="1" x14ac:dyDescent="2.15">
      <c r="B77" s="13" t="s">
        <v>93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2">
        <v>0</v>
      </c>
      <c r="Y77" s="14">
        <f t="shared" si="25"/>
        <v>0</v>
      </c>
      <c r="Z77" s="14">
        <f t="shared" si="26"/>
        <v>0</v>
      </c>
      <c r="AA77" s="13" t="s">
        <v>93</v>
      </c>
      <c r="AB77" s="176"/>
      <c r="AC77" s="177"/>
      <c r="AD77" s="16">
        <f t="shared" si="23"/>
        <v>0</v>
      </c>
      <c r="AE77" s="17"/>
      <c r="AF77" s="169">
        <f>+AD76+AD77</f>
        <v>0</v>
      </c>
      <c r="AG77" s="200"/>
      <c r="AH77" s="200"/>
      <c r="AI77" s="200"/>
      <c r="AJ77" s="200"/>
      <c r="AK77" s="205"/>
      <c r="AL77" s="206"/>
    </row>
    <row r="78" spans="2:40" s="12" customFormat="1" ht="113.25" customHeight="1" x14ac:dyDescent="2.1">
      <c r="B78" s="13" t="s">
        <v>215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6">
        <v>0</v>
      </c>
      <c r="Y78" s="14">
        <f t="shared" si="25"/>
        <v>0</v>
      </c>
      <c r="Z78" s="14">
        <f t="shared" si="26"/>
        <v>0</v>
      </c>
      <c r="AA78" s="13" t="s">
        <v>94</v>
      </c>
      <c r="AB78" s="174">
        <f>SUM(Y78:Y79)</f>
        <v>0</v>
      </c>
      <c r="AC78" s="175"/>
      <c r="AD78" s="16">
        <f t="shared" si="23"/>
        <v>0</v>
      </c>
      <c r="AE78" s="17"/>
      <c r="AF78" s="178" t="s">
        <v>95</v>
      </c>
      <c r="AG78" s="179"/>
      <c r="AH78" s="179"/>
      <c r="AI78" s="179"/>
      <c r="AJ78" s="179"/>
      <c r="AK78" s="205"/>
      <c r="AL78" s="206"/>
    </row>
    <row r="79" spans="2:40" s="12" customFormat="1" ht="113.25" customHeight="1" thickBot="1" x14ac:dyDescent="2.15">
      <c r="B79" s="13" t="s">
        <v>216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2">
        <v>0</v>
      </c>
      <c r="Y79" s="14">
        <f t="shared" si="25"/>
        <v>0</v>
      </c>
      <c r="Z79" s="14">
        <f t="shared" si="26"/>
        <v>0</v>
      </c>
      <c r="AA79" s="13" t="s">
        <v>96</v>
      </c>
      <c r="AB79" s="176"/>
      <c r="AC79" s="177"/>
      <c r="AD79" s="16">
        <f t="shared" si="23"/>
        <v>0</v>
      </c>
      <c r="AE79" s="17"/>
      <c r="AF79" s="169">
        <f>+AD78+AD79</f>
        <v>0</v>
      </c>
      <c r="AG79" s="200"/>
      <c r="AH79" s="200"/>
      <c r="AI79" s="200"/>
      <c r="AJ79" s="200"/>
      <c r="AK79" s="77"/>
      <c r="AL79" s="78"/>
    </row>
    <row r="80" spans="2:40" s="12" customFormat="1" ht="113.25" customHeight="1" x14ac:dyDescent="2.1">
      <c r="B80" s="13" t="s">
        <v>217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2">
        <v>0</v>
      </c>
      <c r="Y80" s="14">
        <f t="shared" si="25"/>
        <v>0</v>
      </c>
      <c r="Z80" s="14">
        <f t="shared" si="26"/>
        <v>0</v>
      </c>
      <c r="AA80" s="13" t="s">
        <v>97</v>
      </c>
      <c r="AB80" s="174">
        <f>SUM(Y80:Y81)</f>
        <v>0</v>
      </c>
      <c r="AC80" s="175"/>
      <c r="AD80" s="16">
        <f t="shared" si="23"/>
        <v>0</v>
      </c>
      <c r="AE80" s="17"/>
      <c r="AF80" s="178" t="s">
        <v>98</v>
      </c>
      <c r="AG80" s="179"/>
      <c r="AH80" s="179"/>
      <c r="AI80" s="179"/>
      <c r="AJ80" s="179"/>
      <c r="AK80" s="201" t="s">
        <v>99</v>
      </c>
      <c r="AL80" s="202"/>
    </row>
    <row r="81" spans="1:38" s="12" customFormat="1" ht="113.25" customHeight="1" thickBot="1" x14ac:dyDescent="2.15">
      <c r="B81" s="13" t="s">
        <v>218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2">
        <v>0</v>
      </c>
      <c r="Y81" s="14">
        <f t="shared" si="25"/>
        <v>0</v>
      </c>
      <c r="Z81" s="14">
        <f t="shared" si="26"/>
        <v>0</v>
      </c>
      <c r="AA81" s="13" t="s">
        <v>100</v>
      </c>
      <c r="AB81" s="176"/>
      <c r="AC81" s="177"/>
      <c r="AD81" s="16">
        <f t="shared" si="23"/>
        <v>0</v>
      </c>
      <c r="AE81" s="17"/>
      <c r="AF81" s="169">
        <f>+AD80+AD81</f>
        <v>0</v>
      </c>
      <c r="AG81" s="200"/>
      <c r="AH81" s="200"/>
      <c r="AI81" s="200"/>
      <c r="AJ81" s="200"/>
      <c r="AK81" s="201"/>
      <c r="AL81" s="202"/>
    </row>
    <row r="82" spans="1:38" s="12" customFormat="1" ht="105.75" customHeight="1" x14ac:dyDescent="2.1">
      <c r="B82" s="13" t="s">
        <v>101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2">
        <v>0</v>
      </c>
      <c r="Y82" s="14">
        <f t="shared" si="25"/>
        <v>0</v>
      </c>
      <c r="Z82" s="14">
        <f t="shared" si="26"/>
        <v>0</v>
      </c>
      <c r="AA82" s="13" t="s">
        <v>101</v>
      </c>
      <c r="AB82" s="172"/>
      <c r="AC82" s="173"/>
      <c r="AD82" s="16">
        <f t="shared" si="23"/>
        <v>0</v>
      </c>
      <c r="AE82" s="17"/>
      <c r="AF82" s="45"/>
      <c r="AG82" s="76"/>
      <c r="AH82" s="76"/>
      <c r="AI82" s="76"/>
      <c r="AJ82" s="76"/>
      <c r="AK82" s="201"/>
      <c r="AL82" s="202"/>
    </row>
    <row r="83" spans="1:38" s="12" customFormat="1" ht="105.75" customHeight="1" x14ac:dyDescent="2.1">
      <c r="B83" s="13" t="s">
        <v>102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2">
        <v>0</v>
      </c>
      <c r="Y83" s="14">
        <f t="shared" si="25"/>
        <v>0</v>
      </c>
      <c r="Z83" s="14">
        <f t="shared" si="26"/>
        <v>0</v>
      </c>
      <c r="AA83" s="13" t="s">
        <v>102</v>
      </c>
      <c r="AB83" s="172"/>
      <c r="AC83" s="173"/>
      <c r="AD83" s="16">
        <f t="shared" si="23"/>
        <v>0</v>
      </c>
      <c r="AE83" s="17"/>
      <c r="AF83" s="45"/>
      <c r="AG83" s="76"/>
      <c r="AH83" s="76"/>
      <c r="AI83" s="76"/>
      <c r="AJ83" s="76"/>
      <c r="AK83" s="201"/>
      <c r="AL83" s="202"/>
    </row>
    <row r="84" spans="1:38" s="12" customFormat="1" ht="105.75" customHeight="1" x14ac:dyDescent="2.1">
      <c r="B84" s="13" t="s">
        <v>103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2">
        <v>0</v>
      </c>
      <c r="Y84" s="14">
        <f t="shared" si="25"/>
        <v>0</v>
      </c>
      <c r="Z84" s="14">
        <f t="shared" si="26"/>
        <v>0</v>
      </c>
      <c r="AA84" s="13" t="s">
        <v>103</v>
      </c>
      <c r="AB84" s="172"/>
      <c r="AC84" s="173"/>
      <c r="AD84" s="16">
        <f t="shared" si="23"/>
        <v>0</v>
      </c>
      <c r="AE84" s="17"/>
      <c r="AF84" s="45"/>
      <c r="AG84" s="76"/>
      <c r="AH84" s="76"/>
      <c r="AI84" s="76"/>
      <c r="AJ84" s="76"/>
      <c r="AK84" s="201"/>
      <c r="AL84" s="202"/>
    </row>
    <row r="85" spans="1:38" s="12" customFormat="1" ht="105.75" customHeight="1" x14ac:dyDescent="2.1">
      <c r="B85" s="13" t="s">
        <v>104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2">
        <v>0</v>
      </c>
      <c r="Y85" s="14">
        <f t="shared" si="25"/>
        <v>0</v>
      </c>
      <c r="Z85" s="14">
        <f t="shared" si="26"/>
        <v>0</v>
      </c>
      <c r="AA85" s="13" t="s">
        <v>104</v>
      </c>
      <c r="AB85" s="172"/>
      <c r="AC85" s="173"/>
      <c r="AD85" s="16">
        <f t="shared" si="23"/>
        <v>0</v>
      </c>
      <c r="AE85" s="17"/>
      <c r="AF85" s="45"/>
      <c r="AG85" s="76"/>
      <c r="AH85" s="76"/>
      <c r="AI85" s="76"/>
      <c r="AJ85" s="76"/>
      <c r="AK85" s="201"/>
      <c r="AL85" s="202"/>
    </row>
    <row r="86" spans="1:38" s="12" customFormat="1" ht="105.75" customHeight="1" x14ac:dyDescent="2.1">
      <c r="B86" s="13" t="s">
        <v>105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2">
        <v>0</v>
      </c>
      <c r="Y86" s="14">
        <f t="shared" si="25"/>
        <v>0</v>
      </c>
      <c r="Z86" s="14">
        <f t="shared" si="26"/>
        <v>0</v>
      </c>
      <c r="AA86" s="13" t="s">
        <v>105</v>
      </c>
      <c r="AB86" s="209">
        <f>SUM(Y86:Y86)</f>
        <v>0</v>
      </c>
      <c r="AC86" s="210"/>
      <c r="AD86" s="16">
        <f t="shared" si="23"/>
        <v>0</v>
      </c>
      <c r="AE86" s="17"/>
      <c r="AF86" s="2"/>
      <c r="AG86" s="2"/>
      <c r="AH86" s="2"/>
      <c r="AI86" s="2"/>
      <c r="AJ86" s="2"/>
      <c r="AK86" s="201"/>
      <c r="AL86" s="202"/>
    </row>
    <row r="87" spans="1:38" ht="123.75" customHeight="1" x14ac:dyDescent="2.1">
      <c r="B87" s="79" t="s">
        <v>106</v>
      </c>
      <c r="C87" s="128" t="s">
        <v>2</v>
      </c>
      <c r="D87" s="129"/>
      <c r="E87" s="128" t="s">
        <v>3</v>
      </c>
      <c r="F87" s="129"/>
      <c r="G87" s="128" t="s">
        <v>4</v>
      </c>
      <c r="H87" s="129"/>
      <c r="I87" s="128" t="s">
        <v>5</v>
      </c>
      <c r="J87" s="129"/>
      <c r="K87" s="128" t="s">
        <v>6</v>
      </c>
      <c r="L87" s="129"/>
      <c r="M87" s="128" t="s">
        <v>7</v>
      </c>
      <c r="N87" s="129"/>
      <c r="O87" s="128" t="s">
        <v>8</v>
      </c>
      <c r="P87" s="129"/>
      <c r="Q87" s="128" t="s">
        <v>9</v>
      </c>
      <c r="R87" s="129"/>
      <c r="S87" s="128" t="s">
        <v>10</v>
      </c>
      <c r="T87" s="129"/>
      <c r="U87" s="128" t="s">
        <v>11</v>
      </c>
      <c r="V87" s="129"/>
      <c r="W87" s="9" t="s">
        <v>12</v>
      </c>
      <c r="X87" s="118"/>
      <c r="Y87" s="49" t="s">
        <v>13</v>
      </c>
      <c r="Z87" s="49" t="s">
        <v>14</v>
      </c>
      <c r="AA87" s="79" t="s">
        <v>106</v>
      </c>
      <c r="AB87" s="134"/>
      <c r="AC87" s="135"/>
      <c r="AD87" s="6" t="s">
        <v>16</v>
      </c>
      <c r="AE87" s="7"/>
      <c r="AK87" s="211">
        <f>SUM(AD88:AD139)</f>
        <v>0</v>
      </c>
      <c r="AL87" s="212"/>
    </row>
    <row r="88" spans="1:38" ht="123.75" customHeight="1" x14ac:dyDescent="2.1">
      <c r="B88" s="15" t="s">
        <v>107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2">
        <v>0</v>
      </c>
      <c r="Y88" s="14">
        <f>SUM(C88,E88,G88,I88,K88,,M88,O88,Q88,S88,U88,W88)</f>
        <v>0</v>
      </c>
      <c r="Z88" s="14">
        <f>SUM(D88,F88,H88,J88,L88,,N88,P88,R88,T88,V88)</f>
        <v>0</v>
      </c>
      <c r="AA88" s="15" t="s">
        <v>107</v>
      </c>
      <c r="AB88" s="214"/>
      <c r="AC88" s="215"/>
      <c r="AD88" s="16">
        <f>X88</f>
        <v>0</v>
      </c>
      <c r="AE88" s="7"/>
      <c r="AK88" s="213"/>
      <c r="AL88" s="212"/>
    </row>
    <row r="89" spans="1:38" s="64" customFormat="1" ht="38.25" customHeight="1" x14ac:dyDescent="2.1"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119">
        <v>0</v>
      </c>
      <c r="Y89" s="80"/>
      <c r="Z89" s="80"/>
      <c r="AA89" s="65"/>
      <c r="AB89" s="81"/>
      <c r="AC89" s="82"/>
      <c r="AD89" s="16">
        <f t="shared" ref="AD89:AD102" si="27">X89</f>
        <v>0</v>
      </c>
      <c r="AE89" s="17"/>
      <c r="AF89" s="2"/>
      <c r="AG89" s="2"/>
      <c r="AH89" s="2"/>
      <c r="AI89" s="2"/>
      <c r="AJ89" s="2"/>
      <c r="AK89" s="213"/>
      <c r="AL89" s="212"/>
    </row>
    <row r="90" spans="1:38" s="12" customFormat="1" ht="113.25" customHeight="1" x14ac:dyDescent="2.1">
      <c r="B90" s="13" t="s">
        <v>108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2">
        <v>0</v>
      </c>
      <c r="Y90" s="14">
        <f t="shared" ref="Y90:Y102" si="28">SUM(C90,E90,G90,I90,K90,,M90,O90,Q90,S90,U90,W90)</f>
        <v>0</v>
      </c>
      <c r="Z90" s="14">
        <f t="shared" ref="Z90:Z102" si="29">SUM(D90,F90,H90,J90,L90,,N90,P90,R90,T90,V90)</f>
        <v>0</v>
      </c>
      <c r="AA90" s="13" t="s">
        <v>108</v>
      </c>
      <c r="AB90" s="172"/>
      <c r="AC90" s="173"/>
      <c r="AD90" s="16">
        <f t="shared" si="27"/>
        <v>0</v>
      </c>
      <c r="AE90" s="17"/>
      <c r="AF90" s="2"/>
      <c r="AG90" s="2"/>
      <c r="AH90" s="2"/>
      <c r="AI90" s="2"/>
      <c r="AJ90" s="2"/>
      <c r="AK90" s="213"/>
      <c r="AL90" s="212"/>
    </row>
    <row r="91" spans="1:38" s="12" customFormat="1" ht="113.25" customHeight="1" x14ac:dyDescent="2.1">
      <c r="B91" s="13" t="s">
        <v>109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2">
        <v>0</v>
      </c>
      <c r="Y91" s="14">
        <f t="shared" si="28"/>
        <v>0</v>
      </c>
      <c r="Z91" s="14">
        <f t="shared" si="29"/>
        <v>0</v>
      </c>
      <c r="AA91" s="13" t="s">
        <v>109</v>
      </c>
      <c r="AB91" s="172"/>
      <c r="AC91" s="173"/>
      <c r="AD91" s="16">
        <f t="shared" si="27"/>
        <v>0</v>
      </c>
      <c r="AE91" s="17"/>
      <c r="AF91" s="2"/>
      <c r="AG91" s="2"/>
      <c r="AH91" s="2"/>
      <c r="AI91" s="2"/>
      <c r="AJ91" s="2"/>
      <c r="AK91" s="213"/>
      <c r="AL91" s="212"/>
    </row>
    <row r="92" spans="1:38" s="12" customFormat="1" ht="113.25" customHeight="1" thickBot="1" x14ac:dyDescent="2.15">
      <c r="B92" s="13" t="s">
        <v>110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2">
        <v>0</v>
      </c>
      <c r="Y92" s="14">
        <f t="shared" si="28"/>
        <v>0</v>
      </c>
      <c r="Z92" s="14">
        <f t="shared" si="29"/>
        <v>0</v>
      </c>
      <c r="AA92" s="13" t="s">
        <v>110</v>
      </c>
      <c r="AB92" s="172"/>
      <c r="AC92" s="173"/>
      <c r="AD92" s="16">
        <f t="shared" si="27"/>
        <v>0</v>
      </c>
      <c r="AE92" s="17"/>
      <c r="AF92" s="2"/>
      <c r="AG92" s="2"/>
      <c r="AH92" s="2"/>
      <c r="AI92" s="2"/>
      <c r="AJ92" s="2"/>
      <c r="AK92" s="213"/>
      <c r="AL92" s="212"/>
    </row>
    <row r="93" spans="1:38" s="12" customFormat="1" ht="146.25" x14ac:dyDescent="2.1">
      <c r="B93" s="13" t="s">
        <v>111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2">
        <v>0</v>
      </c>
      <c r="Y93" s="14">
        <f t="shared" si="28"/>
        <v>0</v>
      </c>
      <c r="Z93" s="14">
        <f t="shared" si="29"/>
        <v>0</v>
      </c>
      <c r="AA93" s="13" t="s">
        <v>111</v>
      </c>
      <c r="AB93" s="216">
        <f>SUM(Y93:Y102)</f>
        <v>0</v>
      </c>
      <c r="AC93" s="141"/>
      <c r="AD93" s="16">
        <f t="shared" si="27"/>
        <v>0</v>
      </c>
      <c r="AE93" s="17"/>
      <c r="AF93" s="162" t="s">
        <v>112</v>
      </c>
      <c r="AG93" s="163"/>
      <c r="AH93" s="163"/>
      <c r="AI93" s="163"/>
      <c r="AJ93" s="164"/>
      <c r="AK93" s="213"/>
      <c r="AL93" s="212"/>
    </row>
    <row r="94" spans="1:38" s="47" customFormat="1" ht="116.25" customHeight="1" x14ac:dyDescent="2.1">
      <c r="A94" s="12"/>
      <c r="B94" s="13" t="s">
        <v>113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2">
        <v>0</v>
      </c>
      <c r="Y94" s="14">
        <f t="shared" si="28"/>
        <v>0</v>
      </c>
      <c r="Z94" s="14">
        <f t="shared" si="29"/>
        <v>0</v>
      </c>
      <c r="AA94" s="13" t="s">
        <v>113</v>
      </c>
      <c r="AB94" s="217"/>
      <c r="AC94" s="142"/>
      <c r="AD94" s="16">
        <f t="shared" si="27"/>
        <v>0</v>
      </c>
      <c r="AE94" s="17"/>
      <c r="AF94" s="165"/>
      <c r="AG94" s="154"/>
      <c r="AH94" s="154"/>
      <c r="AI94" s="154"/>
      <c r="AJ94" s="155"/>
      <c r="AK94" s="213"/>
      <c r="AL94" s="212"/>
    </row>
    <row r="95" spans="1:38" s="47" customFormat="1" ht="113.25" customHeight="1" x14ac:dyDescent="2.1">
      <c r="A95" s="12"/>
      <c r="B95" s="13" t="s">
        <v>114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2">
        <v>0</v>
      </c>
      <c r="Y95" s="14">
        <f t="shared" si="28"/>
        <v>0</v>
      </c>
      <c r="Z95" s="14">
        <f t="shared" si="29"/>
        <v>0</v>
      </c>
      <c r="AA95" s="13" t="s">
        <v>114</v>
      </c>
      <c r="AB95" s="217"/>
      <c r="AC95" s="142"/>
      <c r="AD95" s="16">
        <f t="shared" si="27"/>
        <v>0</v>
      </c>
      <c r="AE95" s="17"/>
      <c r="AF95" s="165"/>
      <c r="AG95" s="154"/>
      <c r="AH95" s="154"/>
      <c r="AI95" s="154"/>
      <c r="AJ95" s="155"/>
      <c r="AK95" s="213"/>
      <c r="AL95" s="212"/>
    </row>
    <row r="96" spans="1:38" s="47" customFormat="1" ht="113.25" customHeight="1" x14ac:dyDescent="2.1">
      <c r="A96" s="12"/>
      <c r="B96" s="13" t="s">
        <v>115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2">
        <v>0</v>
      </c>
      <c r="Y96" s="14">
        <f t="shared" si="28"/>
        <v>0</v>
      </c>
      <c r="Z96" s="14">
        <f t="shared" si="29"/>
        <v>0</v>
      </c>
      <c r="AA96" s="13" t="s">
        <v>115</v>
      </c>
      <c r="AB96" s="217"/>
      <c r="AC96" s="142"/>
      <c r="AD96" s="16">
        <f t="shared" si="27"/>
        <v>0</v>
      </c>
      <c r="AE96" s="17"/>
      <c r="AF96" s="165"/>
      <c r="AG96" s="154"/>
      <c r="AH96" s="154"/>
      <c r="AI96" s="154"/>
      <c r="AJ96" s="155"/>
      <c r="AK96" s="213"/>
      <c r="AL96" s="212"/>
    </row>
    <row r="97" spans="1:38" s="47" customFormat="1" ht="113.25" customHeight="1" x14ac:dyDescent="2.1">
      <c r="A97" s="12"/>
      <c r="B97" s="13" t="s">
        <v>116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2">
        <v>0</v>
      </c>
      <c r="Y97" s="14">
        <f t="shared" si="28"/>
        <v>0</v>
      </c>
      <c r="Z97" s="14">
        <f t="shared" si="29"/>
        <v>0</v>
      </c>
      <c r="AA97" s="13" t="s">
        <v>116</v>
      </c>
      <c r="AB97" s="217"/>
      <c r="AC97" s="142"/>
      <c r="AD97" s="16">
        <f t="shared" si="27"/>
        <v>0</v>
      </c>
      <c r="AE97" s="17"/>
      <c r="AF97" s="165"/>
      <c r="AG97" s="154"/>
      <c r="AH97" s="154"/>
      <c r="AI97" s="154"/>
      <c r="AJ97" s="155"/>
      <c r="AK97" s="213"/>
      <c r="AL97" s="212"/>
    </row>
    <row r="98" spans="1:38" s="47" customFormat="1" ht="113.25" customHeight="1" x14ac:dyDescent="2.1">
      <c r="A98" s="12"/>
      <c r="B98" s="13" t="s">
        <v>117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2">
        <v>0</v>
      </c>
      <c r="Y98" s="14">
        <f t="shared" si="28"/>
        <v>0</v>
      </c>
      <c r="Z98" s="14">
        <f t="shared" si="29"/>
        <v>0</v>
      </c>
      <c r="AA98" s="13" t="s">
        <v>117</v>
      </c>
      <c r="AB98" s="217"/>
      <c r="AC98" s="142"/>
      <c r="AD98" s="16">
        <f t="shared" si="27"/>
        <v>0</v>
      </c>
      <c r="AE98" s="17"/>
      <c r="AF98" s="219">
        <f>SUM(AD93:AD102)</f>
        <v>0</v>
      </c>
      <c r="AG98" s="220"/>
      <c r="AH98" s="220"/>
      <c r="AI98" s="220"/>
      <c r="AJ98" s="221"/>
      <c r="AK98" s="213"/>
      <c r="AL98" s="212"/>
    </row>
    <row r="99" spans="1:38" s="47" customFormat="1" ht="113.25" customHeight="1" x14ac:dyDescent="2.1">
      <c r="A99" s="12"/>
      <c r="B99" s="13" t="s">
        <v>118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2">
        <v>0</v>
      </c>
      <c r="Y99" s="14">
        <f t="shared" si="28"/>
        <v>0</v>
      </c>
      <c r="Z99" s="14">
        <f t="shared" si="29"/>
        <v>0</v>
      </c>
      <c r="AA99" s="13" t="s">
        <v>118</v>
      </c>
      <c r="AB99" s="217"/>
      <c r="AC99" s="142"/>
      <c r="AD99" s="16">
        <f t="shared" si="27"/>
        <v>0</v>
      </c>
      <c r="AE99" s="17"/>
      <c r="AF99" s="39"/>
      <c r="AG99" s="24"/>
      <c r="AH99" s="24"/>
      <c r="AI99" s="24"/>
      <c r="AJ99" s="25"/>
      <c r="AK99" s="213"/>
      <c r="AL99" s="212"/>
    </row>
    <row r="100" spans="1:38" s="47" customFormat="1" ht="113.25" customHeight="1" x14ac:dyDescent="2.1">
      <c r="A100" s="12"/>
      <c r="B100" s="13" t="s">
        <v>119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2">
        <v>0</v>
      </c>
      <c r="Y100" s="14">
        <f t="shared" si="28"/>
        <v>0</v>
      </c>
      <c r="Z100" s="14">
        <f t="shared" si="29"/>
        <v>0</v>
      </c>
      <c r="AA100" s="13" t="s">
        <v>119</v>
      </c>
      <c r="AB100" s="217"/>
      <c r="AC100" s="142"/>
      <c r="AD100" s="16">
        <f t="shared" si="27"/>
        <v>0</v>
      </c>
      <c r="AE100" s="17"/>
      <c r="AF100" s="153"/>
      <c r="AG100" s="154"/>
      <c r="AH100" s="154"/>
      <c r="AI100" s="154"/>
      <c r="AJ100" s="155"/>
      <c r="AK100" s="213"/>
      <c r="AL100" s="212"/>
    </row>
    <row r="101" spans="1:38" s="47" customFormat="1" ht="113.25" customHeight="1" x14ac:dyDescent="2.1">
      <c r="A101" s="12"/>
      <c r="B101" s="13" t="s">
        <v>120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2">
        <v>0</v>
      </c>
      <c r="Y101" s="14">
        <f t="shared" si="28"/>
        <v>0</v>
      </c>
      <c r="Z101" s="14">
        <f t="shared" si="29"/>
        <v>0</v>
      </c>
      <c r="AA101" s="13" t="s">
        <v>120</v>
      </c>
      <c r="AB101" s="217"/>
      <c r="AC101" s="142"/>
      <c r="AD101" s="16">
        <f t="shared" si="27"/>
        <v>0</v>
      </c>
      <c r="AE101" s="17"/>
      <c r="AF101" s="26"/>
      <c r="AG101" s="27"/>
      <c r="AH101" s="27"/>
      <c r="AI101" s="27"/>
      <c r="AJ101" s="28"/>
      <c r="AK101" s="213"/>
      <c r="AL101" s="212"/>
    </row>
    <row r="102" spans="1:38" s="47" customFormat="1" ht="113.25" customHeight="1" thickBot="1" x14ac:dyDescent="2.15">
      <c r="A102" s="12"/>
      <c r="B102" s="13" t="s">
        <v>121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2">
        <v>0</v>
      </c>
      <c r="Y102" s="14">
        <f t="shared" si="28"/>
        <v>0</v>
      </c>
      <c r="Z102" s="14">
        <f t="shared" si="29"/>
        <v>0</v>
      </c>
      <c r="AA102" s="13" t="s">
        <v>121</v>
      </c>
      <c r="AB102" s="218"/>
      <c r="AC102" s="143"/>
      <c r="AD102" s="16">
        <f t="shared" si="27"/>
        <v>0</v>
      </c>
      <c r="AE102" s="17"/>
      <c r="AF102" s="83"/>
      <c r="AG102" s="84"/>
      <c r="AH102" s="84"/>
      <c r="AI102" s="84"/>
      <c r="AJ102" s="85"/>
      <c r="AK102" s="213"/>
      <c r="AL102" s="212"/>
    </row>
    <row r="103" spans="1:38" s="47" customFormat="1" ht="111" customHeight="1" x14ac:dyDescent="2.1">
      <c r="A103" s="12"/>
      <c r="B103" s="13"/>
      <c r="C103" s="30">
        <f>SUM(C93:C102)</f>
        <v>0</v>
      </c>
      <c r="D103" s="30">
        <f t="shared" ref="D103:W103" si="30">SUM(D93:D102)</f>
        <v>0</v>
      </c>
      <c r="E103" s="30">
        <f t="shared" si="30"/>
        <v>0</v>
      </c>
      <c r="F103" s="30">
        <f t="shared" si="30"/>
        <v>0</v>
      </c>
      <c r="G103" s="30">
        <f t="shared" si="30"/>
        <v>0</v>
      </c>
      <c r="H103" s="30">
        <f t="shared" si="30"/>
        <v>0</v>
      </c>
      <c r="I103" s="30">
        <f t="shared" si="30"/>
        <v>0</v>
      </c>
      <c r="J103" s="30">
        <f t="shared" si="30"/>
        <v>0</v>
      </c>
      <c r="K103" s="30">
        <f t="shared" si="30"/>
        <v>0</v>
      </c>
      <c r="L103" s="30">
        <f t="shared" si="30"/>
        <v>0</v>
      </c>
      <c r="M103" s="30">
        <f t="shared" si="30"/>
        <v>0</v>
      </c>
      <c r="N103" s="30">
        <f t="shared" si="30"/>
        <v>0</v>
      </c>
      <c r="O103" s="30">
        <f t="shared" si="30"/>
        <v>0</v>
      </c>
      <c r="P103" s="30">
        <f t="shared" si="30"/>
        <v>0</v>
      </c>
      <c r="Q103" s="30">
        <f t="shared" si="30"/>
        <v>0</v>
      </c>
      <c r="R103" s="30">
        <f t="shared" si="30"/>
        <v>0</v>
      </c>
      <c r="S103" s="30">
        <f t="shared" si="30"/>
        <v>0</v>
      </c>
      <c r="T103" s="30">
        <f t="shared" si="30"/>
        <v>0</v>
      </c>
      <c r="U103" s="30">
        <f t="shared" si="30"/>
        <v>0</v>
      </c>
      <c r="V103" s="30">
        <f t="shared" si="30"/>
        <v>0</v>
      </c>
      <c r="W103" s="30">
        <f t="shared" si="30"/>
        <v>0</v>
      </c>
      <c r="X103" s="113"/>
      <c r="Y103" s="14"/>
      <c r="Z103" s="14"/>
      <c r="AA103" s="13"/>
      <c r="AB103" s="181"/>
      <c r="AC103" s="182"/>
      <c r="AD103" s="33"/>
      <c r="AE103" s="17"/>
      <c r="AF103" s="144"/>
      <c r="AG103" s="145"/>
      <c r="AH103" s="145"/>
      <c r="AI103" s="145"/>
      <c r="AJ103" s="146"/>
      <c r="AK103" s="213"/>
      <c r="AL103" s="212"/>
    </row>
    <row r="104" spans="1:38" ht="126" customHeight="1" x14ac:dyDescent="0.25">
      <c r="B104" s="132" t="s">
        <v>0</v>
      </c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"/>
      <c r="AF104" s="147"/>
      <c r="AG104" s="148"/>
      <c r="AH104" s="148"/>
      <c r="AI104" s="148"/>
      <c r="AJ104" s="149"/>
      <c r="AK104" s="213"/>
      <c r="AL104" s="212"/>
    </row>
    <row r="105" spans="1:38" ht="123.75" customHeight="1" x14ac:dyDescent="2.1">
      <c r="B105" s="130" t="s">
        <v>122</v>
      </c>
      <c r="C105" s="128" t="s">
        <v>2</v>
      </c>
      <c r="D105" s="129"/>
      <c r="E105" s="128" t="s">
        <v>3</v>
      </c>
      <c r="F105" s="129"/>
      <c r="G105" s="128" t="s">
        <v>4</v>
      </c>
      <c r="H105" s="129"/>
      <c r="I105" s="128" t="s">
        <v>5</v>
      </c>
      <c r="J105" s="129"/>
      <c r="K105" s="128" t="s">
        <v>6</v>
      </c>
      <c r="L105" s="129"/>
      <c r="M105" s="128" t="s">
        <v>7</v>
      </c>
      <c r="N105" s="129"/>
      <c r="O105" s="128" t="s">
        <v>8</v>
      </c>
      <c r="P105" s="129"/>
      <c r="Q105" s="128" t="s">
        <v>9</v>
      </c>
      <c r="R105" s="129"/>
      <c r="S105" s="128" t="s">
        <v>10</v>
      </c>
      <c r="T105" s="129"/>
      <c r="U105" s="128" t="s">
        <v>11</v>
      </c>
      <c r="V105" s="129"/>
      <c r="W105" s="130" t="s">
        <v>12</v>
      </c>
      <c r="X105" s="110"/>
      <c r="Y105" s="130" t="s">
        <v>13</v>
      </c>
      <c r="Z105" s="130" t="s">
        <v>14</v>
      </c>
      <c r="AA105" s="130" t="s">
        <v>122</v>
      </c>
      <c r="AB105" s="134"/>
      <c r="AC105" s="135"/>
      <c r="AD105" s="6" t="s">
        <v>16</v>
      </c>
      <c r="AE105" s="7"/>
      <c r="AF105" s="147"/>
      <c r="AG105" s="148"/>
      <c r="AH105" s="148"/>
      <c r="AI105" s="148"/>
      <c r="AJ105" s="149"/>
      <c r="AK105" s="213"/>
      <c r="AL105" s="212"/>
    </row>
    <row r="106" spans="1:38" s="4" customFormat="1" ht="138" customHeight="1" x14ac:dyDescent="2.1">
      <c r="B106" s="131"/>
      <c r="C106" s="9" t="s">
        <v>17</v>
      </c>
      <c r="D106" s="9" t="s">
        <v>18</v>
      </c>
      <c r="E106" s="9" t="s">
        <v>17</v>
      </c>
      <c r="F106" s="9" t="s">
        <v>18</v>
      </c>
      <c r="G106" s="9" t="s">
        <v>17</v>
      </c>
      <c r="H106" s="9" t="s">
        <v>18</v>
      </c>
      <c r="I106" s="9" t="s">
        <v>17</v>
      </c>
      <c r="J106" s="9" t="s">
        <v>18</v>
      </c>
      <c r="K106" s="9" t="s">
        <v>17</v>
      </c>
      <c r="L106" s="9" t="s">
        <v>18</v>
      </c>
      <c r="M106" s="9" t="s">
        <v>17</v>
      </c>
      <c r="N106" s="9" t="s">
        <v>18</v>
      </c>
      <c r="O106" s="9" t="s">
        <v>17</v>
      </c>
      <c r="P106" s="9" t="s">
        <v>18</v>
      </c>
      <c r="Q106" s="9" t="s">
        <v>17</v>
      </c>
      <c r="R106" s="9" t="s">
        <v>18</v>
      </c>
      <c r="S106" s="9" t="s">
        <v>17</v>
      </c>
      <c r="T106" s="9" t="s">
        <v>18</v>
      </c>
      <c r="U106" s="9" t="s">
        <v>17</v>
      </c>
      <c r="V106" s="9" t="s">
        <v>18</v>
      </c>
      <c r="W106" s="131"/>
      <c r="X106" s="111"/>
      <c r="Y106" s="131"/>
      <c r="Z106" s="131"/>
      <c r="AA106" s="131"/>
      <c r="AB106" s="10"/>
      <c r="AC106" s="11"/>
      <c r="AD106" s="6"/>
      <c r="AE106" s="7"/>
      <c r="AF106" s="147"/>
      <c r="AG106" s="148"/>
      <c r="AH106" s="148"/>
      <c r="AI106" s="148"/>
      <c r="AJ106" s="149"/>
      <c r="AK106" s="213"/>
      <c r="AL106" s="212"/>
    </row>
    <row r="107" spans="1:38" s="47" customFormat="1" ht="111" customHeight="1" x14ac:dyDescent="2.1">
      <c r="A107" s="12"/>
      <c r="B107" s="13" t="s">
        <v>123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2">
        <v>0</v>
      </c>
      <c r="Y107" s="14">
        <f>SUM(C107,E107,G107,I107,K107,,M107,O107,Q107,S107,U107,W107)</f>
        <v>0</v>
      </c>
      <c r="Z107" s="14">
        <f>SUM(D107,F107,H107,J107,L107,,N107,P107,R107,T107,V107)</f>
        <v>0</v>
      </c>
      <c r="AA107" s="13" t="s">
        <v>123</v>
      </c>
      <c r="AB107" s="216">
        <f>SUM(Y107:Y110)</f>
        <v>0</v>
      </c>
      <c r="AC107" s="141"/>
      <c r="AD107" s="16">
        <f>X107</f>
        <v>0</v>
      </c>
      <c r="AE107" s="17"/>
      <c r="AF107" s="147"/>
      <c r="AG107" s="148"/>
      <c r="AH107" s="148"/>
      <c r="AI107" s="148"/>
      <c r="AJ107" s="149"/>
      <c r="AK107" s="213"/>
      <c r="AL107" s="212"/>
    </row>
    <row r="108" spans="1:38" s="47" customFormat="1" ht="111" customHeight="1" x14ac:dyDescent="2.1">
      <c r="A108" s="12"/>
      <c r="B108" s="13" t="s">
        <v>124</v>
      </c>
      <c r="C108" s="14">
        <v>0</v>
      </c>
      <c r="D108" s="14">
        <v>0</v>
      </c>
      <c r="E108" s="14">
        <v>0</v>
      </c>
      <c r="F108" s="14">
        <v>0</v>
      </c>
      <c r="G108" s="14">
        <v>0</v>
      </c>
      <c r="H108" s="14">
        <v>0</v>
      </c>
      <c r="I108" s="14">
        <v>0</v>
      </c>
      <c r="J108" s="14">
        <v>0</v>
      </c>
      <c r="K108" s="14">
        <v>0</v>
      </c>
      <c r="L108" s="14">
        <v>0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2">
        <v>0</v>
      </c>
      <c r="Y108" s="14">
        <f>SUM(C108,E108,G108,I108,K108,,M108,O108,Q108,S108,U108,W108)</f>
        <v>0</v>
      </c>
      <c r="Z108" s="14">
        <f>SUM(D108,F108,H108,J108,L108,,N108,P108,R108,T108,V108)</f>
        <v>0</v>
      </c>
      <c r="AA108" s="13" t="s">
        <v>124</v>
      </c>
      <c r="AB108" s="217"/>
      <c r="AC108" s="142"/>
      <c r="AD108" s="16">
        <f t="shared" ref="AD108:AD138" si="31">X108</f>
        <v>0</v>
      </c>
      <c r="AE108" s="17"/>
      <c r="AF108" s="39"/>
      <c r="AG108" s="24"/>
      <c r="AH108" s="24"/>
      <c r="AI108" s="24"/>
      <c r="AJ108" s="25"/>
      <c r="AK108" s="213"/>
      <c r="AL108" s="212"/>
    </row>
    <row r="109" spans="1:38" s="47" customFormat="1" ht="111" customHeight="1" x14ac:dyDescent="2.1">
      <c r="A109" s="12"/>
      <c r="B109" s="13" t="s">
        <v>125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2">
        <v>0</v>
      </c>
      <c r="Y109" s="14">
        <f>SUM(C109,E109,G109,I109,K109,,M109,O109,Q109,S109,U109,W109)</f>
        <v>0</v>
      </c>
      <c r="Z109" s="14">
        <f>SUM(D109,F109,H109,J109,L109,,N109,P109,R109,T109,V109)</f>
        <v>0</v>
      </c>
      <c r="AA109" s="13" t="s">
        <v>125</v>
      </c>
      <c r="AB109" s="217"/>
      <c r="AC109" s="142"/>
      <c r="AD109" s="16">
        <f t="shared" si="31"/>
        <v>0</v>
      </c>
      <c r="AE109" s="17"/>
      <c r="AF109" s="39"/>
      <c r="AG109" s="24"/>
      <c r="AH109" s="24"/>
      <c r="AI109" s="24"/>
      <c r="AJ109" s="25"/>
      <c r="AK109" s="213"/>
      <c r="AL109" s="212"/>
    </row>
    <row r="110" spans="1:38" s="47" customFormat="1" ht="111" customHeight="1" x14ac:dyDescent="2.1">
      <c r="A110" s="12"/>
      <c r="B110" s="13" t="s">
        <v>126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2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126</v>
      </c>
      <c r="AB110" s="217"/>
      <c r="AC110" s="142"/>
      <c r="AD110" s="16">
        <f t="shared" si="31"/>
        <v>0</v>
      </c>
      <c r="AE110" s="17"/>
      <c r="AF110" s="39"/>
      <c r="AG110" s="24"/>
      <c r="AH110" s="24"/>
      <c r="AI110" s="24"/>
      <c r="AJ110" s="25"/>
      <c r="AK110" s="213"/>
      <c r="AL110" s="212"/>
    </row>
    <row r="111" spans="1:38" s="47" customFormat="1" ht="111" customHeight="1" thickBot="1" x14ac:dyDescent="2.15">
      <c r="A111" s="12"/>
      <c r="B111" s="13"/>
      <c r="C111" s="30">
        <f>SUM(C107:C110)</f>
        <v>0</v>
      </c>
      <c r="D111" s="30">
        <f t="shared" ref="D111:W111" si="32">SUM(D107:D110)</f>
        <v>0</v>
      </c>
      <c r="E111" s="30">
        <f t="shared" si="32"/>
        <v>0</v>
      </c>
      <c r="F111" s="30">
        <f t="shared" si="32"/>
        <v>0</v>
      </c>
      <c r="G111" s="30">
        <f t="shared" si="32"/>
        <v>0</v>
      </c>
      <c r="H111" s="30">
        <f t="shared" si="32"/>
        <v>0</v>
      </c>
      <c r="I111" s="30">
        <f t="shared" si="32"/>
        <v>0</v>
      </c>
      <c r="J111" s="30">
        <f t="shared" si="32"/>
        <v>0</v>
      </c>
      <c r="K111" s="30">
        <f t="shared" si="32"/>
        <v>0</v>
      </c>
      <c r="L111" s="30">
        <f t="shared" si="32"/>
        <v>0</v>
      </c>
      <c r="M111" s="30">
        <f t="shared" si="32"/>
        <v>0</v>
      </c>
      <c r="N111" s="30">
        <f t="shared" si="32"/>
        <v>0</v>
      </c>
      <c r="O111" s="30">
        <f t="shared" si="32"/>
        <v>0</v>
      </c>
      <c r="P111" s="30">
        <f t="shared" si="32"/>
        <v>0</v>
      </c>
      <c r="Q111" s="30">
        <f t="shared" si="32"/>
        <v>0</v>
      </c>
      <c r="R111" s="30">
        <f t="shared" si="32"/>
        <v>0</v>
      </c>
      <c r="S111" s="30">
        <f t="shared" si="32"/>
        <v>0</v>
      </c>
      <c r="T111" s="30">
        <f t="shared" si="32"/>
        <v>0</v>
      </c>
      <c r="U111" s="30">
        <f t="shared" si="32"/>
        <v>0</v>
      </c>
      <c r="V111" s="30">
        <f t="shared" si="32"/>
        <v>0</v>
      </c>
      <c r="W111" s="30">
        <f t="shared" si="32"/>
        <v>0</v>
      </c>
      <c r="X111" s="113"/>
      <c r="Y111" s="14"/>
      <c r="Z111" s="14"/>
      <c r="AA111" s="13"/>
      <c r="AB111" s="218"/>
      <c r="AC111" s="143"/>
      <c r="AD111" s="16">
        <f t="shared" si="31"/>
        <v>0</v>
      </c>
      <c r="AE111" s="17"/>
      <c r="AF111" s="224"/>
      <c r="AG111" s="225"/>
      <c r="AH111" s="225"/>
      <c r="AI111" s="225"/>
      <c r="AJ111" s="226"/>
      <c r="AK111" s="213"/>
      <c r="AL111" s="212"/>
    </row>
    <row r="112" spans="1:38" s="12" customFormat="1" ht="113.25" customHeight="1" x14ac:dyDescent="2.1">
      <c r="B112" s="13" t="s">
        <v>127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2">
        <v>0</v>
      </c>
      <c r="Y112" s="14">
        <f t="shared" ref="Y112:Y124" si="33">SUM(C112,E112,G112,I112,K112,,M112,O112,Q112,S112,U112,W112)</f>
        <v>0</v>
      </c>
      <c r="Z112" s="14">
        <f t="shared" ref="Z112:Z124" si="34">SUM(D112,F112,H112,J112,L112,,N112,P112,R112,T112,V112)</f>
        <v>0</v>
      </c>
      <c r="AA112" s="13" t="s">
        <v>127</v>
      </c>
      <c r="AB112" s="216">
        <f>SUM(Y112:Y124)</f>
        <v>0</v>
      </c>
      <c r="AC112" s="141"/>
      <c r="AD112" s="16">
        <f t="shared" si="31"/>
        <v>0</v>
      </c>
      <c r="AE112" s="17"/>
      <c r="AF112" s="162" t="s">
        <v>128</v>
      </c>
      <c r="AG112" s="163"/>
      <c r="AH112" s="163"/>
      <c r="AI112" s="163"/>
      <c r="AJ112" s="164"/>
      <c r="AK112" s="213"/>
      <c r="AL112" s="212"/>
    </row>
    <row r="113" spans="1:38" s="12" customFormat="1" ht="113.25" customHeight="1" x14ac:dyDescent="2.1">
      <c r="B113" s="13" t="s">
        <v>129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2">
        <v>0</v>
      </c>
      <c r="Y113" s="14">
        <f t="shared" si="33"/>
        <v>0</v>
      </c>
      <c r="Z113" s="14">
        <f t="shared" si="34"/>
        <v>0</v>
      </c>
      <c r="AA113" s="13" t="s">
        <v>129</v>
      </c>
      <c r="AB113" s="217"/>
      <c r="AC113" s="142"/>
      <c r="AD113" s="16">
        <f t="shared" si="31"/>
        <v>0</v>
      </c>
      <c r="AE113" s="17"/>
      <c r="AF113" s="165"/>
      <c r="AG113" s="154"/>
      <c r="AH113" s="154"/>
      <c r="AI113" s="154"/>
      <c r="AJ113" s="155"/>
      <c r="AK113" s="222" t="s">
        <v>130</v>
      </c>
      <c r="AL113" s="223"/>
    </row>
    <row r="114" spans="1:38" s="12" customFormat="1" ht="113.25" customHeight="1" x14ac:dyDescent="2.1">
      <c r="B114" s="13" t="s">
        <v>131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2">
        <v>0</v>
      </c>
      <c r="Y114" s="14">
        <f t="shared" si="33"/>
        <v>0</v>
      </c>
      <c r="Z114" s="14">
        <f t="shared" si="34"/>
        <v>0</v>
      </c>
      <c r="AA114" s="13" t="s">
        <v>131</v>
      </c>
      <c r="AB114" s="217"/>
      <c r="AC114" s="142"/>
      <c r="AD114" s="16">
        <f t="shared" si="31"/>
        <v>0</v>
      </c>
      <c r="AE114" s="17"/>
      <c r="AF114" s="165"/>
      <c r="AG114" s="154"/>
      <c r="AH114" s="154"/>
      <c r="AI114" s="154"/>
      <c r="AJ114" s="155"/>
      <c r="AK114" s="222"/>
      <c r="AL114" s="223"/>
    </row>
    <row r="115" spans="1:38" s="12" customFormat="1" ht="113.25" customHeight="1" x14ac:dyDescent="2.1">
      <c r="B115" s="13" t="s">
        <v>132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2">
        <v>0</v>
      </c>
      <c r="Y115" s="14">
        <f t="shared" si="33"/>
        <v>0</v>
      </c>
      <c r="Z115" s="14">
        <f t="shared" si="34"/>
        <v>0</v>
      </c>
      <c r="AA115" s="13" t="s">
        <v>132</v>
      </c>
      <c r="AB115" s="217"/>
      <c r="AC115" s="142"/>
      <c r="AD115" s="16">
        <f t="shared" si="31"/>
        <v>0</v>
      </c>
      <c r="AE115" s="17"/>
      <c r="AF115" s="165"/>
      <c r="AG115" s="154"/>
      <c r="AH115" s="154"/>
      <c r="AI115" s="154"/>
      <c r="AJ115" s="155"/>
      <c r="AK115" s="222"/>
      <c r="AL115" s="223"/>
    </row>
    <row r="116" spans="1:38" s="12" customFormat="1" ht="113.25" customHeight="1" x14ac:dyDescent="2.1">
      <c r="B116" s="13" t="s">
        <v>133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2">
        <v>0</v>
      </c>
      <c r="Y116" s="14">
        <f t="shared" si="33"/>
        <v>0</v>
      </c>
      <c r="Z116" s="14">
        <f t="shared" si="34"/>
        <v>0</v>
      </c>
      <c r="AA116" s="13" t="s">
        <v>133</v>
      </c>
      <c r="AB116" s="217"/>
      <c r="AC116" s="142"/>
      <c r="AD116" s="16">
        <f t="shared" si="31"/>
        <v>0</v>
      </c>
      <c r="AE116" s="17"/>
      <c r="AF116" s="165"/>
      <c r="AG116" s="154"/>
      <c r="AH116" s="154"/>
      <c r="AI116" s="154"/>
      <c r="AJ116" s="155"/>
      <c r="AK116" s="222"/>
      <c r="AL116" s="223"/>
    </row>
    <row r="117" spans="1:38" s="12" customFormat="1" ht="113.25" customHeight="1" x14ac:dyDescent="2.1">
      <c r="B117" s="13" t="s">
        <v>134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2">
        <v>0</v>
      </c>
      <c r="Y117" s="14">
        <f t="shared" si="33"/>
        <v>0</v>
      </c>
      <c r="Z117" s="14">
        <f t="shared" si="34"/>
        <v>0</v>
      </c>
      <c r="AA117" s="13" t="s">
        <v>134</v>
      </c>
      <c r="AB117" s="217"/>
      <c r="AC117" s="142"/>
      <c r="AD117" s="16">
        <f t="shared" si="31"/>
        <v>0</v>
      </c>
      <c r="AE117" s="17"/>
      <c r="AF117" s="165"/>
      <c r="AG117" s="154"/>
      <c r="AH117" s="154"/>
      <c r="AI117" s="154"/>
      <c r="AJ117" s="155"/>
      <c r="AK117" s="222"/>
      <c r="AL117" s="223"/>
    </row>
    <row r="118" spans="1:38" s="47" customFormat="1" ht="113.25" customHeight="1" x14ac:dyDescent="2.1">
      <c r="A118" s="12"/>
      <c r="B118" s="13" t="s">
        <v>135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2">
        <v>0</v>
      </c>
      <c r="Y118" s="14">
        <f t="shared" si="33"/>
        <v>0</v>
      </c>
      <c r="Z118" s="14">
        <f t="shared" si="34"/>
        <v>0</v>
      </c>
      <c r="AA118" s="13" t="s">
        <v>135</v>
      </c>
      <c r="AB118" s="217"/>
      <c r="AC118" s="142"/>
      <c r="AD118" s="16">
        <f t="shared" si="31"/>
        <v>0</v>
      </c>
      <c r="AE118" s="17"/>
      <c r="AF118" s="153">
        <f>SUM(AD112:AD124)</f>
        <v>0</v>
      </c>
      <c r="AG118" s="154"/>
      <c r="AH118" s="154"/>
      <c r="AI118" s="154"/>
      <c r="AJ118" s="155"/>
      <c r="AK118" s="222"/>
      <c r="AL118" s="223"/>
    </row>
    <row r="119" spans="1:38" s="47" customFormat="1" ht="120.75" customHeight="1" x14ac:dyDescent="2.1">
      <c r="A119" s="12"/>
      <c r="B119" s="13" t="s">
        <v>136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2">
        <v>0</v>
      </c>
      <c r="Y119" s="14">
        <f t="shared" si="33"/>
        <v>0</v>
      </c>
      <c r="Z119" s="14">
        <f t="shared" si="34"/>
        <v>0</v>
      </c>
      <c r="AA119" s="13" t="s">
        <v>136</v>
      </c>
      <c r="AB119" s="217"/>
      <c r="AC119" s="142"/>
      <c r="AD119" s="16">
        <f t="shared" si="31"/>
        <v>0</v>
      </c>
      <c r="AE119" s="17"/>
      <c r="AF119" s="153"/>
      <c r="AG119" s="154"/>
      <c r="AH119" s="154"/>
      <c r="AI119" s="154"/>
      <c r="AJ119" s="155"/>
      <c r="AK119" s="222"/>
      <c r="AL119" s="223"/>
    </row>
    <row r="120" spans="1:38" s="12" customFormat="1" ht="113.25" customHeight="1" x14ac:dyDescent="2.1">
      <c r="B120" s="13" t="s">
        <v>137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2">
        <v>0</v>
      </c>
      <c r="Y120" s="14">
        <f t="shared" si="33"/>
        <v>0</v>
      </c>
      <c r="Z120" s="14">
        <f t="shared" si="34"/>
        <v>0</v>
      </c>
      <c r="AA120" s="13" t="s">
        <v>137</v>
      </c>
      <c r="AB120" s="217"/>
      <c r="AC120" s="142"/>
      <c r="AD120" s="16">
        <f t="shared" si="31"/>
        <v>0</v>
      </c>
      <c r="AE120" s="17"/>
      <c r="AF120" s="26"/>
      <c r="AG120" s="27"/>
      <c r="AH120" s="27"/>
      <c r="AI120" s="27"/>
      <c r="AJ120" s="28"/>
      <c r="AK120" s="222"/>
      <c r="AL120" s="223"/>
    </row>
    <row r="121" spans="1:38" s="12" customFormat="1" ht="113.25" customHeight="1" x14ac:dyDescent="2.1">
      <c r="B121" s="13" t="s">
        <v>138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2">
        <v>0</v>
      </c>
      <c r="Y121" s="14">
        <f t="shared" si="33"/>
        <v>0</v>
      </c>
      <c r="Z121" s="14">
        <f t="shared" si="34"/>
        <v>0</v>
      </c>
      <c r="AA121" s="13" t="s">
        <v>138</v>
      </c>
      <c r="AB121" s="217"/>
      <c r="AC121" s="142"/>
      <c r="AD121" s="16">
        <f t="shared" si="31"/>
        <v>0</v>
      </c>
      <c r="AE121" s="17"/>
      <c r="AF121" s="26"/>
      <c r="AG121" s="27"/>
      <c r="AH121" s="27"/>
      <c r="AI121" s="27"/>
      <c r="AJ121" s="28"/>
      <c r="AK121" s="222"/>
      <c r="AL121" s="223"/>
    </row>
    <row r="122" spans="1:38" s="12" customFormat="1" ht="113.25" customHeight="1" x14ac:dyDescent="2.1">
      <c r="B122" s="13" t="s">
        <v>139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2">
        <v>0</v>
      </c>
      <c r="Y122" s="14">
        <f t="shared" si="33"/>
        <v>0</v>
      </c>
      <c r="Z122" s="14">
        <f t="shared" si="34"/>
        <v>0</v>
      </c>
      <c r="AA122" s="13" t="s">
        <v>139</v>
      </c>
      <c r="AB122" s="217"/>
      <c r="AC122" s="142"/>
      <c r="AD122" s="16">
        <f t="shared" si="31"/>
        <v>0</v>
      </c>
      <c r="AE122" s="17"/>
      <c r="AF122" s="26"/>
      <c r="AG122" s="27"/>
      <c r="AH122" s="27"/>
      <c r="AI122" s="27"/>
      <c r="AJ122" s="28"/>
      <c r="AK122" s="222"/>
      <c r="AL122" s="223"/>
    </row>
    <row r="123" spans="1:38" s="12" customFormat="1" ht="113.25" customHeight="1" thickBot="1" x14ac:dyDescent="2.15">
      <c r="B123" s="13" t="s">
        <v>140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2">
        <v>0</v>
      </c>
      <c r="Y123" s="14">
        <f t="shared" si="33"/>
        <v>0</v>
      </c>
      <c r="Z123" s="14">
        <f t="shared" si="34"/>
        <v>0</v>
      </c>
      <c r="AA123" s="13" t="s">
        <v>140</v>
      </c>
      <c r="AB123" s="217"/>
      <c r="AC123" s="142"/>
      <c r="AD123" s="16">
        <f t="shared" si="31"/>
        <v>0</v>
      </c>
      <c r="AE123" s="17"/>
      <c r="AF123" s="83"/>
      <c r="AG123" s="84"/>
      <c r="AH123" s="84"/>
      <c r="AI123" s="84"/>
      <c r="AJ123" s="85"/>
      <c r="AK123" s="222"/>
      <c r="AL123" s="223"/>
    </row>
    <row r="124" spans="1:38" s="12" customFormat="1" ht="113.25" customHeight="1" thickBot="1" x14ac:dyDescent="2.15">
      <c r="B124" s="13" t="s">
        <v>141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2">
        <v>0</v>
      </c>
      <c r="Y124" s="14">
        <f t="shared" si="33"/>
        <v>0</v>
      </c>
      <c r="Z124" s="14">
        <f t="shared" si="34"/>
        <v>0</v>
      </c>
      <c r="AA124" s="13" t="s">
        <v>141</v>
      </c>
      <c r="AB124" s="217"/>
      <c r="AC124" s="142"/>
      <c r="AD124" s="16">
        <f t="shared" si="31"/>
        <v>0</v>
      </c>
      <c r="AE124" s="17"/>
      <c r="AF124" s="83"/>
      <c r="AG124" s="84"/>
      <c r="AH124" s="84"/>
      <c r="AI124" s="84"/>
      <c r="AJ124" s="85"/>
      <c r="AK124" s="222"/>
      <c r="AL124" s="223"/>
    </row>
    <row r="125" spans="1:38" s="12" customFormat="1" ht="113.25" customHeight="1" thickBot="1" x14ac:dyDescent="2.15">
      <c r="B125" s="13"/>
      <c r="C125" s="30">
        <f>SUM(C112:C124)</f>
        <v>0</v>
      </c>
      <c r="D125" s="30">
        <f t="shared" ref="D125:W125" si="35">SUM(D112:D124)</f>
        <v>0</v>
      </c>
      <c r="E125" s="30">
        <f t="shared" si="35"/>
        <v>0</v>
      </c>
      <c r="F125" s="30">
        <f t="shared" si="35"/>
        <v>0</v>
      </c>
      <c r="G125" s="30">
        <f t="shared" si="35"/>
        <v>0</v>
      </c>
      <c r="H125" s="30">
        <f t="shared" si="35"/>
        <v>0</v>
      </c>
      <c r="I125" s="30">
        <f t="shared" si="35"/>
        <v>0</v>
      </c>
      <c r="J125" s="30">
        <f t="shared" si="35"/>
        <v>0</v>
      </c>
      <c r="K125" s="30">
        <f t="shared" si="35"/>
        <v>0</v>
      </c>
      <c r="L125" s="30">
        <f t="shared" si="35"/>
        <v>0</v>
      </c>
      <c r="M125" s="30">
        <f t="shared" si="35"/>
        <v>0</v>
      </c>
      <c r="N125" s="30">
        <f t="shared" si="35"/>
        <v>0</v>
      </c>
      <c r="O125" s="30">
        <f t="shared" si="35"/>
        <v>0</v>
      </c>
      <c r="P125" s="30">
        <f t="shared" si="35"/>
        <v>0</v>
      </c>
      <c r="Q125" s="30">
        <f t="shared" si="35"/>
        <v>0</v>
      </c>
      <c r="R125" s="30">
        <f t="shared" si="35"/>
        <v>0</v>
      </c>
      <c r="S125" s="30">
        <f t="shared" si="35"/>
        <v>0</v>
      </c>
      <c r="T125" s="30">
        <f t="shared" si="35"/>
        <v>0</v>
      </c>
      <c r="U125" s="30">
        <f t="shared" si="35"/>
        <v>0</v>
      </c>
      <c r="V125" s="30">
        <f t="shared" si="35"/>
        <v>0</v>
      </c>
      <c r="W125" s="30">
        <f t="shared" si="35"/>
        <v>0</v>
      </c>
      <c r="X125" s="113">
        <v>0</v>
      </c>
      <c r="Y125" s="14"/>
      <c r="Z125" s="14"/>
      <c r="AA125" s="13"/>
      <c r="AB125" s="218"/>
      <c r="AC125" s="143"/>
      <c r="AD125" s="16">
        <f t="shared" si="31"/>
        <v>0</v>
      </c>
      <c r="AE125" s="17"/>
      <c r="AF125" s="39"/>
      <c r="AG125" s="24"/>
      <c r="AH125" s="24"/>
      <c r="AI125" s="24"/>
      <c r="AJ125" s="25"/>
      <c r="AK125" s="222"/>
      <c r="AL125" s="223"/>
    </row>
    <row r="126" spans="1:38" s="12" customFormat="1" ht="113.25" customHeight="1" x14ac:dyDescent="2.1">
      <c r="B126" s="13" t="s">
        <v>142</v>
      </c>
      <c r="C126" s="14">
        <v>0</v>
      </c>
      <c r="D126" s="14">
        <v>0</v>
      </c>
      <c r="E126" s="14">
        <v>0</v>
      </c>
      <c r="F126" s="14">
        <v>0</v>
      </c>
      <c r="G126" s="14">
        <v>0</v>
      </c>
      <c r="H126" s="14">
        <v>0</v>
      </c>
      <c r="I126" s="14">
        <v>0</v>
      </c>
      <c r="J126" s="14">
        <v>0</v>
      </c>
      <c r="K126" s="14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2">
        <v>0</v>
      </c>
      <c r="Y126" s="14">
        <f t="shared" ref="Y126:Y137" si="36">SUM(C126,E126,G126,I126,K126,,M126,O126,Q126,S126,U126,W126)</f>
        <v>0</v>
      </c>
      <c r="Z126" s="14">
        <f t="shared" ref="Z126:Z137" si="37">SUM(D126,F126,H126,J126,L126,,N126,P126,R126,T126,V126)</f>
        <v>0</v>
      </c>
      <c r="AA126" s="13" t="s">
        <v>142</v>
      </c>
      <c r="AB126" s="216">
        <f>SUM(Y126:Y137)</f>
        <v>0</v>
      </c>
      <c r="AC126" s="141"/>
      <c r="AD126" s="16">
        <f t="shared" si="31"/>
        <v>0</v>
      </c>
      <c r="AE126" s="17"/>
      <c r="AF126" s="162" t="s">
        <v>143</v>
      </c>
      <c r="AG126" s="163"/>
      <c r="AH126" s="163"/>
      <c r="AI126" s="163"/>
      <c r="AJ126" s="164"/>
      <c r="AK126" s="222"/>
      <c r="AL126" s="223"/>
    </row>
    <row r="127" spans="1:38" s="12" customFormat="1" ht="113.25" customHeight="1" x14ac:dyDescent="2.1">
      <c r="B127" s="13" t="s">
        <v>214</v>
      </c>
      <c r="C127" s="14">
        <v>0</v>
      </c>
      <c r="D127" s="14">
        <v>0</v>
      </c>
      <c r="E127" s="14">
        <v>0</v>
      </c>
      <c r="F127" s="14">
        <v>0</v>
      </c>
      <c r="G127" s="14">
        <v>0</v>
      </c>
      <c r="H127" s="14">
        <v>0</v>
      </c>
      <c r="I127" s="14">
        <v>0</v>
      </c>
      <c r="J127" s="14">
        <v>0</v>
      </c>
      <c r="K127" s="14">
        <v>0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2">
        <v>0</v>
      </c>
      <c r="Y127" s="14">
        <f t="shared" si="36"/>
        <v>0</v>
      </c>
      <c r="Z127" s="14">
        <f t="shared" si="37"/>
        <v>0</v>
      </c>
      <c r="AA127" s="13" t="s">
        <v>214</v>
      </c>
      <c r="AB127" s="217"/>
      <c r="AC127" s="142"/>
      <c r="AD127" s="16">
        <f>X127</f>
        <v>0</v>
      </c>
      <c r="AE127" s="17"/>
      <c r="AF127" s="165"/>
      <c r="AG127" s="154"/>
      <c r="AH127" s="154"/>
      <c r="AI127" s="154"/>
      <c r="AJ127" s="155"/>
      <c r="AK127" s="222"/>
      <c r="AL127" s="223"/>
    </row>
    <row r="128" spans="1:38" s="12" customFormat="1" ht="113.25" customHeight="1" x14ac:dyDescent="2.1">
      <c r="B128" s="13" t="s">
        <v>144</v>
      </c>
      <c r="C128" s="14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2">
        <v>0</v>
      </c>
      <c r="Y128" s="14">
        <f t="shared" si="36"/>
        <v>0</v>
      </c>
      <c r="Z128" s="14">
        <f t="shared" si="37"/>
        <v>0</v>
      </c>
      <c r="AA128" s="13" t="s">
        <v>144</v>
      </c>
      <c r="AB128" s="217"/>
      <c r="AC128" s="142"/>
      <c r="AD128" s="16">
        <f t="shared" si="31"/>
        <v>0</v>
      </c>
      <c r="AE128" s="17"/>
      <c r="AF128" s="165"/>
      <c r="AG128" s="154"/>
      <c r="AH128" s="154"/>
      <c r="AI128" s="154"/>
      <c r="AJ128" s="155"/>
      <c r="AK128" s="222"/>
      <c r="AL128" s="223"/>
    </row>
    <row r="129" spans="1:40" s="12" customFormat="1" ht="113.25" customHeight="1" x14ac:dyDescent="2.1">
      <c r="B129" s="13" t="s">
        <v>145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2">
        <v>0</v>
      </c>
      <c r="Y129" s="14">
        <f t="shared" si="36"/>
        <v>0</v>
      </c>
      <c r="Z129" s="14">
        <f t="shared" si="37"/>
        <v>0</v>
      </c>
      <c r="AA129" s="13" t="s">
        <v>145</v>
      </c>
      <c r="AB129" s="217"/>
      <c r="AC129" s="142"/>
      <c r="AD129" s="16">
        <f t="shared" si="31"/>
        <v>0</v>
      </c>
      <c r="AE129" s="17"/>
      <c r="AF129" s="39"/>
      <c r="AG129" s="24"/>
      <c r="AH129" s="24"/>
      <c r="AI129" s="24"/>
      <c r="AJ129" s="25"/>
      <c r="AK129" s="222"/>
      <c r="AL129" s="223"/>
    </row>
    <row r="130" spans="1:40" s="12" customFormat="1" ht="113.25" customHeight="1" x14ac:dyDescent="2.1">
      <c r="B130" s="13" t="s">
        <v>146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2">
        <v>0</v>
      </c>
      <c r="Y130" s="14">
        <f t="shared" si="36"/>
        <v>0</v>
      </c>
      <c r="Z130" s="14">
        <f t="shared" si="37"/>
        <v>0</v>
      </c>
      <c r="AA130" s="13" t="s">
        <v>146</v>
      </c>
      <c r="AB130" s="217"/>
      <c r="AC130" s="142"/>
      <c r="AD130" s="16">
        <f t="shared" si="31"/>
        <v>0</v>
      </c>
      <c r="AE130" s="17"/>
      <c r="AF130" s="153">
        <f>SUM(AD126:AD137)</f>
        <v>0</v>
      </c>
      <c r="AG130" s="154"/>
      <c r="AH130" s="154"/>
      <c r="AI130" s="154"/>
      <c r="AJ130" s="155"/>
      <c r="AK130" s="222"/>
      <c r="AL130" s="223"/>
    </row>
    <row r="131" spans="1:40" s="12" customFormat="1" ht="113.25" customHeight="1" x14ac:dyDescent="2.1">
      <c r="B131" s="13" t="s">
        <v>147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2">
        <v>0</v>
      </c>
      <c r="Y131" s="14">
        <f t="shared" si="36"/>
        <v>0</v>
      </c>
      <c r="Z131" s="14">
        <f t="shared" si="37"/>
        <v>0</v>
      </c>
      <c r="AA131" s="13" t="s">
        <v>147</v>
      </c>
      <c r="AB131" s="217"/>
      <c r="AC131" s="142"/>
      <c r="AD131" s="16">
        <f t="shared" si="31"/>
        <v>0</v>
      </c>
      <c r="AE131" s="17"/>
      <c r="AF131" s="23"/>
      <c r="AG131" s="24"/>
      <c r="AH131" s="24"/>
      <c r="AI131" s="24"/>
      <c r="AJ131" s="25"/>
      <c r="AK131" s="222"/>
      <c r="AL131" s="223"/>
    </row>
    <row r="132" spans="1:40" s="12" customFormat="1" ht="113.25" customHeight="1" x14ac:dyDescent="2.1">
      <c r="B132" s="13" t="s">
        <v>148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2">
        <v>0</v>
      </c>
      <c r="Y132" s="14">
        <f t="shared" si="36"/>
        <v>0</v>
      </c>
      <c r="Z132" s="14">
        <f t="shared" si="37"/>
        <v>0</v>
      </c>
      <c r="AA132" s="13" t="s">
        <v>148</v>
      </c>
      <c r="AB132" s="217"/>
      <c r="AC132" s="142"/>
      <c r="AD132" s="16">
        <f t="shared" si="31"/>
        <v>0</v>
      </c>
      <c r="AE132" s="17"/>
      <c r="AF132" s="26"/>
      <c r="AG132" s="27"/>
      <c r="AH132" s="27"/>
      <c r="AI132" s="27"/>
      <c r="AJ132" s="28"/>
      <c r="AK132" s="222"/>
      <c r="AL132" s="223"/>
    </row>
    <row r="133" spans="1:40" s="12" customFormat="1" ht="113.25" customHeight="1" x14ac:dyDescent="2.1">
      <c r="B133" s="13" t="s">
        <v>213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2">
        <v>0</v>
      </c>
      <c r="Y133" s="14">
        <f t="shared" si="36"/>
        <v>0</v>
      </c>
      <c r="Z133" s="14">
        <f t="shared" si="37"/>
        <v>0</v>
      </c>
      <c r="AA133" s="13" t="s">
        <v>213</v>
      </c>
      <c r="AB133" s="217"/>
      <c r="AC133" s="142"/>
      <c r="AD133" s="16">
        <f t="shared" si="31"/>
        <v>0</v>
      </c>
      <c r="AE133" s="17"/>
      <c r="AF133" s="27"/>
      <c r="AG133" s="27"/>
      <c r="AH133" s="27"/>
      <c r="AI133" s="27"/>
      <c r="AJ133" s="27"/>
      <c r="AK133" s="222"/>
      <c r="AL133" s="223"/>
    </row>
    <row r="134" spans="1:40" s="12" customFormat="1" ht="94.5" customHeight="1" x14ac:dyDescent="2.1">
      <c r="B134" s="13" t="s">
        <v>149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2">
        <v>0</v>
      </c>
      <c r="Y134" s="14">
        <f t="shared" si="36"/>
        <v>0</v>
      </c>
      <c r="Z134" s="14">
        <f t="shared" si="37"/>
        <v>0</v>
      </c>
      <c r="AA134" s="13" t="s">
        <v>149</v>
      </c>
      <c r="AB134" s="217"/>
      <c r="AC134" s="142"/>
      <c r="AD134" s="16">
        <f t="shared" si="31"/>
        <v>0</v>
      </c>
      <c r="AE134" s="17"/>
      <c r="AF134"/>
      <c r="AG134"/>
      <c r="AH134"/>
      <c r="AI134"/>
      <c r="AJ134"/>
      <c r="AK134" s="222"/>
      <c r="AL134" s="223"/>
    </row>
    <row r="135" spans="1:40" s="12" customFormat="1" ht="146.25" x14ac:dyDescent="2.1">
      <c r="B135" s="13" t="s">
        <v>150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2">
        <v>0</v>
      </c>
      <c r="Y135" s="14">
        <f t="shared" si="36"/>
        <v>0</v>
      </c>
      <c r="Z135" s="14">
        <f t="shared" si="37"/>
        <v>0</v>
      </c>
      <c r="AA135" s="13" t="s">
        <v>150</v>
      </c>
      <c r="AB135" s="217"/>
      <c r="AC135" s="142"/>
      <c r="AD135" s="16">
        <f t="shared" si="31"/>
        <v>0</v>
      </c>
      <c r="AE135" s="17"/>
      <c r="AF135" s="26"/>
      <c r="AG135" s="27"/>
      <c r="AH135" s="27"/>
      <c r="AI135" s="27"/>
      <c r="AJ135" s="28"/>
      <c r="AK135" s="222"/>
      <c r="AL135" s="223"/>
    </row>
    <row r="136" spans="1:40" s="12" customFormat="1" ht="146.25" x14ac:dyDescent="2.1">
      <c r="B136" s="13" t="s">
        <v>151</v>
      </c>
      <c r="C136" s="14">
        <v>0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2">
        <v>0</v>
      </c>
      <c r="Y136" s="14">
        <f t="shared" si="36"/>
        <v>0</v>
      </c>
      <c r="Z136" s="14">
        <f t="shared" si="37"/>
        <v>0</v>
      </c>
      <c r="AA136" s="13" t="s">
        <v>151</v>
      </c>
      <c r="AB136" s="217"/>
      <c r="AC136" s="142"/>
      <c r="AD136" s="16">
        <f t="shared" si="31"/>
        <v>0</v>
      </c>
      <c r="AE136" s="17"/>
      <c r="AF136" s="26"/>
      <c r="AG136" s="27"/>
      <c r="AH136" s="27"/>
      <c r="AI136" s="27"/>
      <c r="AJ136" s="28"/>
      <c r="AK136" s="222"/>
      <c r="AL136" s="223"/>
    </row>
    <row r="137" spans="1:40" s="12" customFormat="1" ht="147" thickBot="1" x14ac:dyDescent="2.15">
      <c r="B137" s="13" t="s">
        <v>152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2">
        <v>0</v>
      </c>
      <c r="Y137" s="14">
        <f t="shared" si="36"/>
        <v>0</v>
      </c>
      <c r="Z137" s="14">
        <f t="shared" si="37"/>
        <v>0</v>
      </c>
      <c r="AA137" s="13" t="s">
        <v>152</v>
      </c>
      <c r="AB137" s="217"/>
      <c r="AC137" s="142"/>
      <c r="AD137" s="16">
        <f t="shared" si="31"/>
        <v>0</v>
      </c>
      <c r="AE137" s="17"/>
      <c r="AF137" s="83"/>
      <c r="AG137" s="84"/>
      <c r="AH137" s="84"/>
      <c r="AI137" s="84"/>
      <c r="AJ137" s="85"/>
      <c r="AK137" s="222"/>
      <c r="AL137" s="223"/>
    </row>
    <row r="138" spans="1:40" s="12" customFormat="1" ht="113.25" customHeight="1" thickBot="1" x14ac:dyDescent="2.15">
      <c r="B138" s="13"/>
      <c r="C138" s="30">
        <f>SUM(C126:C137)</f>
        <v>0</v>
      </c>
      <c r="D138" s="30">
        <f t="shared" ref="D138:W138" si="38">SUM(D126:D137)</f>
        <v>0</v>
      </c>
      <c r="E138" s="30">
        <f t="shared" si="38"/>
        <v>0</v>
      </c>
      <c r="F138" s="30">
        <f t="shared" si="38"/>
        <v>0</v>
      </c>
      <c r="G138" s="30">
        <f t="shared" si="38"/>
        <v>0</v>
      </c>
      <c r="H138" s="30">
        <f t="shared" si="38"/>
        <v>0</v>
      </c>
      <c r="I138" s="30">
        <f t="shared" si="38"/>
        <v>0</v>
      </c>
      <c r="J138" s="30">
        <f t="shared" si="38"/>
        <v>0</v>
      </c>
      <c r="K138" s="30">
        <f t="shared" si="38"/>
        <v>0</v>
      </c>
      <c r="L138" s="30">
        <f t="shared" si="38"/>
        <v>0</v>
      </c>
      <c r="M138" s="30">
        <f t="shared" si="38"/>
        <v>0</v>
      </c>
      <c r="N138" s="30">
        <f t="shared" si="38"/>
        <v>0</v>
      </c>
      <c r="O138" s="30">
        <f t="shared" si="38"/>
        <v>0</v>
      </c>
      <c r="P138" s="30">
        <f t="shared" si="38"/>
        <v>0</v>
      </c>
      <c r="Q138" s="30">
        <f t="shared" si="38"/>
        <v>0</v>
      </c>
      <c r="R138" s="30">
        <f t="shared" si="38"/>
        <v>0</v>
      </c>
      <c r="S138" s="30">
        <f t="shared" si="38"/>
        <v>0</v>
      </c>
      <c r="T138" s="30">
        <f t="shared" si="38"/>
        <v>0</v>
      </c>
      <c r="U138" s="30">
        <f t="shared" si="38"/>
        <v>0</v>
      </c>
      <c r="V138" s="30">
        <f t="shared" si="38"/>
        <v>0</v>
      </c>
      <c r="W138" s="30">
        <f t="shared" si="38"/>
        <v>0</v>
      </c>
      <c r="X138" s="113">
        <v>0</v>
      </c>
      <c r="Y138" s="14"/>
      <c r="Z138" s="14"/>
      <c r="AA138" s="13"/>
      <c r="AB138" s="218"/>
      <c r="AC138" s="143"/>
      <c r="AD138" s="16">
        <f t="shared" si="31"/>
        <v>0</v>
      </c>
      <c r="AE138" s="17"/>
      <c r="AF138" s="178" t="s">
        <v>153</v>
      </c>
      <c r="AG138" s="179"/>
      <c r="AH138" s="179"/>
      <c r="AI138" s="179"/>
      <c r="AJ138" s="179"/>
      <c r="AK138" s="222"/>
      <c r="AL138" s="223"/>
    </row>
    <row r="139" spans="1:40" s="12" customFormat="1" ht="146.25" x14ac:dyDescent="2.1">
      <c r="B139" s="13" t="s">
        <v>154</v>
      </c>
      <c r="C139" s="14">
        <v>0</v>
      </c>
      <c r="D139" s="14">
        <v>0</v>
      </c>
      <c r="E139" s="14">
        <v>0</v>
      </c>
      <c r="F139" s="14">
        <v>0</v>
      </c>
      <c r="G139" s="14">
        <v>0</v>
      </c>
      <c r="H139" s="14">
        <v>0</v>
      </c>
      <c r="I139" s="14">
        <v>0</v>
      </c>
      <c r="J139" s="14">
        <v>0</v>
      </c>
      <c r="K139" s="14">
        <v>0</v>
      </c>
      <c r="L139" s="14">
        <v>0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2">
        <v>0</v>
      </c>
      <c r="Y139" s="14">
        <f>SUM(C139,E139,G139,I139,K139,,M139,O139,Q139,S139,U139,W139)</f>
        <v>0</v>
      </c>
      <c r="Z139" s="14">
        <f>SUM(D139,F139,H139,J139,L139,,N139,P139,R139,T139,V139)</f>
        <v>0</v>
      </c>
      <c r="AA139" s="13" t="s">
        <v>154</v>
      </c>
      <c r="AB139" s="172"/>
      <c r="AC139" s="173"/>
      <c r="AD139" s="16">
        <f>X139</f>
        <v>0</v>
      </c>
      <c r="AE139" s="17"/>
      <c r="AF139" s="229">
        <f>AD139</f>
        <v>0</v>
      </c>
      <c r="AG139" s="179"/>
      <c r="AH139" s="179"/>
      <c r="AI139" s="179"/>
      <c r="AJ139" s="179"/>
      <c r="AK139" s="222"/>
      <c r="AL139" s="223"/>
    </row>
    <row r="140" spans="1:40" s="88" customFormat="1" ht="108" customHeight="1" x14ac:dyDescent="2.35">
      <c r="A140"/>
      <c r="B140" s="86" t="s">
        <v>155</v>
      </c>
      <c r="C140" s="128" t="s">
        <v>2</v>
      </c>
      <c r="D140" s="129"/>
      <c r="E140" s="128" t="s">
        <v>3</v>
      </c>
      <c r="F140" s="129"/>
      <c r="G140" s="128" t="s">
        <v>4</v>
      </c>
      <c r="H140" s="129"/>
      <c r="I140" s="128" t="s">
        <v>5</v>
      </c>
      <c r="J140" s="129"/>
      <c r="K140" s="128" t="s">
        <v>6</v>
      </c>
      <c r="L140" s="129"/>
      <c r="M140" s="128" t="s">
        <v>7</v>
      </c>
      <c r="N140" s="129"/>
      <c r="O140" s="128" t="s">
        <v>8</v>
      </c>
      <c r="P140" s="129"/>
      <c r="Q140" s="128" t="s">
        <v>9</v>
      </c>
      <c r="R140" s="129"/>
      <c r="S140" s="128" t="s">
        <v>10</v>
      </c>
      <c r="T140" s="129"/>
      <c r="U140" s="128" t="s">
        <v>11</v>
      </c>
      <c r="V140" s="129"/>
      <c r="W140" s="9" t="s">
        <v>12</v>
      </c>
      <c r="X140" s="118"/>
      <c r="Y140" s="49" t="s">
        <v>13</v>
      </c>
      <c r="Z140" s="49" t="s">
        <v>14</v>
      </c>
      <c r="AA140" s="86" t="s">
        <v>155</v>
      </c>
      <c r="AB140" s="227"/>
      <c r="AC140" s="228"/>
      <c r="AD140" s="6" t="s">
        <v>16</v>
      </c>
      <c r="AE140" s="7"/>
      <c r="AF140" s="2"/>
      <c r="AG140" s="2"/>
      <c r="AH140" s="2"/>
      <c r="AI140" s="2"/>
      <c r="AJ140" s="2"/>
      <c r="AK140" s="87"/>
      <c r="AL140" s="87"/>
      <c r="AM140" s="47"/>
      <c r="AN140" s="47"/>
    </row>
    <row r="141" spans="1:40" s="47" customFormat="1" ht="112.5" customHeight="1" x14ac:dyDescent="2.35">
      <c r="A141" s="12"/>
      <c r="B141" s="13" t="s">
        <v>156</v>
      </c>
      <c r="C141" s="14">
        <v>0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v>0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2">
        <v>0</v>
      </c>
      <c r="Y141" s="14">
        <f>SUM(C141,E141,G141,I141,K141,,M141,O141,Q141,S141,U141,W141)</f>
        <v>0</v>
      </c>
      <c r="Z141" s="14">
        <f>SUM(D141,F141,H141,J141,L141,,N141,P141,R141,T141,V141)</f>
        <v>0</v>
      </c>
      <c r="AA141" s="13" t="s">
        <v>156</v>
      </c>
      <c r="AB141" s="174">
        <f>SUM(Y141:Y142)</f>
        <v>0</v>
      </c>
      <c r="AC141" s="175"/>
      <c r="AD141" s="16">
        <f>X141</f>
        <v>0</v>
      </c>
      <c r="AE141" s="17"/>
      <c r="AF141" s="2"/>
      <c r="AG141" s="2"/>
      <c r="AH141" s="2"/>
      <c r="AI141" s="2"/>
      <c r="AJ141" s="2"/>
      <c r="AK141" s="87"/>
      <c r="AL141" s="87"/>
    </row>
    <row r="142" spans="1:40" s="47" customFormat="1" ht="112.5" customHeight="1" x14ac:dyDescent="2.35">
      <c r="A142" s="12"/>
      <c r="B142" s="13" t="s">
        <v>157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2">
        <v>0</v>
      </c>
      <c r="Y142" s="14">
        <f>SUM(C142,E142,G142,I142,K142,,M142,O142,Q142,S142,U142,W142)</f>
        <v>0</v>
      </c>
      <c r="Z142" s="14">
        <f>SUM(D142,F142,H142,J142,L142,,N142,P142,R142,T142,V142)</f>
        <v>0</v>
      </c>
      <c r="AA142" s="13" t="s">
        <v>157</v>
      </c>
      <c r="AB142" s="176"/>
      <c r="AC142" s="177"/>
      <c r="AD142" s="16">
        <f>X142</f>
        <v>0</v>
      </c>
      <c r="AE142" s="17"/>
      <c r="AF142" s="2"/>
      <c r="AG142" s="2"/>
      <c r="AH142" s="2"/>
      <c r="AI142" s="2"/>
      <c r="AJ142" s="2"/>
      <c r="AK142" s="89"/>
      <c r="AL142" s="89"/>
      <c r="AM142" s="88"/>
      <c r="AN142" s="88"/>
    </row>
    <row r="143" spans="1:40" s="88" customFormat="1" ht="108" customHeight="1" x14ac:dyDescent="2.35">
      <c r="A143"/>
      <c r="B143" s="86" t="s">
        <v>212</v>
      </c>
      <c r="C143" s="128" t="s">
        <v>2</v>
      </c>
      <c r="D143" s="129"/>
      <c r="E143" s="128" t="s">
        <v>3</v>
      </c>
      <c r="F143" s="129"/>
      <c r="G143" s="128" t="s">
        <v>4</v>
      </c>
      <c r="H143" s="129"/>
      <c r="I143" s="128" t="s">
        <v>5</v>
      </c>
      <c r="J143" s="129"/>
      <c r="K143" s="128" t="s">
        <v>6</v>
      </c>
      <c r="L143" s="129"/>
      <c r="M143" s="128" t="s">
        <v>7</v>
      </c>
      <c r="N143" s="129"/>
      <c r="O143" s="128" t="s">
        <v>8</v>
      </c>
      <c r="P143" s="129"/>
      <c r="Q143" s="128" t="s">
        <v>9</v>
      </c>
      <c r="R143" s="129"/>
      <c r="S143" s="128" t="s">
        <v>10</v>
      </c>
      <c r="T143" s="129"/>
      <c r="U143" s="128" t="s">
        <v>11</v>
      </c>
      <c r="V143" s="129"/>
      <c r="W143" s="9" t="s">
        <v>12</v>
      </c>
      <c r="X143" s="118"/>
      <c r="Y143" s="49" t="s">
        <v>13</v>
      </c>
      <c r="Z143" s="49" t="s">
        <v>14</v>
      </c>
      <c r="AA143" s="86" t="s">
        <v>158</v>
      </c>
      <c r="AB143" s="227"/>
      <c r="AC143" s="228"/>
      <c r="AD143" s="6" t="s">
        <v>16</v>
      </c>
      <c r="AE143" s="7"/>
      <c r="AF143" s="2"/>
      <c r="AG143" s="2"/>
      <c r="AH143" s="2"/>
      <c r="AI143" s="2"/>
      <c r="AJ143" s="2"/>
      <c r="AK143" s="87"/>
      <c r="AL143" s="87"/>
      <c r="AM143" s="47"/>
      <c r="AN143" s="47"/>
    </row>
    <row r="144" spans="1:40" s="47" customFormat="1" ht="116.25" customHeight="1" x14ac:dyDescent="2.35">
      <c r="A144" s="12"/>
      <c r="B144" s="13" t="s">
        <v>159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2">
        <v>0</v>
      </c>
      <c r="Y144" s="14">
        <f t="shared" ref="Y144:Y154" si="39">SUM(C144,E144,G144,I144,K144,,M144,O144,Q144,S144,U144,W144)</f>
        <v>0</v>
      </c>
      <c r="Z144" s="14">
        <f t="shared" ref="Z144:Z154" si="40">SUM(D144,F144,H144,J144,L144,,N144,P144,R144,T144,V144)</f>
        <v>0</v>
      </c>
      <c r="AA144" s="13" t="s">
        <v>159</v>
      </c>
      <c r="AB144" s="216">
        <f>SUM(Y144:Y154)</f>
        <v>0</v>
      </c>
      <c r="AC144" s="141"/>
      <c r="AD144" s="16">
        <f>X144</f>
        <v>0</v>
      </c>
      <c r="AE144" s="17"/>
      <c r="AF144" s="2"/>
      <c r="AG144" s="2"/>
      <c r="AH144" s="2"/>
      <c r="AI144" s="2"/>
      <c r="AJ144" s="2"/>
      <c r="AK144" s="87"/>
      <c r="AL144" s="87"/>
    </row>
    <row r="145" spans="1:40" s="47" customFormat="1" ht="116.25" customHeight="1" x14ac:dyDescent="2.35">
      <c r="A145" s="12"/>
      <c r="B145" s="13" t="s">
        <v>158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2">
        <v>0</v>
      </c>
      <c r="Y145" s="14">
        <f t="shared" si="39"/>
        <v>0</v>
      </c>
      <c r="Z145" s="14">
        <f t="shared" si="40"/>
        <v>0</v>
      </c>
      <c r="AA145" s="13" t="s">
        <v>158</v>
      </c>
      <c r="AB145" s="217"/>
      <c r="AC145" s="142"/>
      <c r="AD145" s="16">
        <f t="shared" ref="AD145:AD154" si="41">X145</f>
        <v>0</v>
      </c>
      <c r="AE145" s="17"/>
      <c r="AF145" s="2"/>
      <c r="AG145" s="2"/>
      <c r="AH145" s="2"/>
      <c r="AI145" s="2"/>
      <c r="AJ145" s="2"/>
      <c r="AK145" s="87"/>
      <c r="AL145" s="87"/>
    </row>
    <row r="146" spans="1:40" s="47" customFormat="1" x14ac:dyDescent="2.35">
      <c r="A146" s="12"/>
      <c r="B146" s="13" t="s">
        <v>160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2">
        <v>0</v>
      </c>
      <c r="Y146" s="14">
        <f t="shared" si="39"/>
        <v>0</v>
      </c>
      <c r="Z146" s="14">
        <f t="shared" si="40"/>
        <v>0</v>
      </c>
      <c r="AA146" s="13" t="s">
        <v>160</v>
      </c>
      <c r="AB146" s="217"/>
      <c r="AC146" s="142"/>
      <c r="AD146" s="16">
        <f t="shared" si="41"/>
        <v>0</v>
      </c>
      <c r="AE146" s="17"/>
      <c r="AF146" s="2"/>
      <c r="AG146" s="2"/>
      <c r="AH146" s="2"/>
      <c r="AI146" s="2"/>
      <c r="AJ146" s="2"/>
      <c r="AK146" s="87"/>
      <c r="AL146" s="87"/>
    </row>
    <row r="147" spans="1:40" s="47" customFormat="1" ht="116.25" customHeight="1" x14ac:dyDescent="2.35">
      <c r="A147" s="12"/>
      <c r="B147" s="13" t="s">
        <v>161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2">
        <v>0</v>
      </c>
      <c r="Y147" s="14">
        <f t="shared" si="39"/>
        <v>0</v>
      </c>
      <c r="Z147" s="14">
        <f t="shared" si="40"/>
        <v>0</v>
      </c>
      <c r="AA147" s="13" t="s">
        <v>161</v>
      </c>
      <c r="AB147" s="217"/>
      <c r="AC147" s="142"/>
      <c r="AD147" s="16">
        <f t="shared" si="41"/>
        <v>0</v>
      </c>
      <c r="AE147" s="17"/>
      <c r="AF147" s="2"/>
      <c r="AG147" s="2"/>
      <c r="AH147" s="2"/>
      <c r="AI147" s="2"/>
      <c r="AJ147" s="2"/>
      <c r="AK147" s="87"/>
      <c r="AL147" s="87"/>
    </row>
    <row r="148" spans="1:40" s="47" customFormat="1" ht="116.25" customHeight="1" x14ac:dyDescent="2.35">
      <c r="A148" s="12"/>
      <c r="B148" s="13" t="s">
        <v>162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2">
        <v>0</v>
      </c>
      <c r="Y148" s="14">
        <f t="shared" si="39"/>
        <v>0</v>
      </c>
      <c r="Z148" s="14">
        <f t="shared" si="40"/>
        <v>0</v>
      </c>
      <c r="AA148" s="13" t="s">
        <v>162</v>
      </c>
      <c r="AB148" s="217"/>
      <c r="AC148" s="142"/>
      <c r="AD148" s="16">
        <f t="shared" si="41"/>
        <v>0</v>
      </c>
      <c r="AE148" s="17"/>
      <c r="AF148" s="2"/>
      <c r="AG148" s="2"/>
      <c r="AH148" s="2"/>
      <c r="AI148" s="2"/>
      <c r="AJ148" s="2"/>
      <c r="AK148" s="87"/>
      <c r="AL148" s="87"/>
    </row>
    <row r="149" spans="1:40" s="47" customFormat="1" ht="116.25" customHeight="1" x14ac:dyDescent="2.35">
      <c r="A149" s="12"/>
      <c r="B149" s="13" t="s">
        <v>163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2">
        <v>0</v>
      </c>
      <c r="Y149" s="14">
        <f t="shared" si="39"/>
        <v>0</v>
      </c>
      <c r="Z149" s="14">
        <f t="shared" si="40"/>
        <v>0</v>
      </c>
      <c r="AA149" s="13" t="s">
        <v>163</v>
      </c>
      <c r="AB149" s="217"/>
      <c r="AC149" s="142"/>
      <c r="AD149" s="16">
        <f t="shared" si="41"/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ht="116.25" customHeight="1" x14ac:dyDescent="2.35">
      <c r="A150" s="12"/>
      <c r="B150" s="13" t="s">
        <v>164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2">
        <v>0</v>
      </c>
      <c r="Y150" s="14">
        <f t="shared" si="39"/>
        <v>0</v>
      </c>
      <c r="Z150" s="14">
        <f t="shared" si="40"/>
        <v>0</v>
      </c>
      <c r="AA150" s="13" t="s">
        <v>164</v>
      </c>
      <c r="AB150" s="217"/>
      <c r="AC150" s="142"/>
      <c r="AD150" s="16">
        <f t="shared" si="41"/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ht="116.25" customHeight="1" x14ac:dyDescent="2.35">
      <c r="A151" s="12"/>
      <c r="B151" s="13" t="s">
        <v>165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2">
        <v>0</v>
      </c>
      <c r="Y151" s="14">
        <f t="shared" si="39"/>
        <v>0</v>
      </c>
      <c r="Z151" s="14">
        <f t="shared" si="40"/>
        <v>0</v>
      </c>
      <c r="AA151" s="13" t="s">
        <v>165</v>
      </c>
      <c r="AB151" s="217"/>
      <c r="AC151" s="142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x14ac:dyDescent="2.35">
      <c r="A152" s="12"/>
      <c r="B152" s="13" t="s">
        <v>166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2">
        <v>0</v>
      </c>
      <c r="Y152" s="14">
        <f t="shared" si="39"/>
        <v>0</v>
      </c>
      <c r="Z152" s="14">
        <f t="shared" si="40"/>
        <v>0</v>
      </c>
      <c r="AA152" s="13" t="s">
        <v>166</v>
      </c>
      <c r="AB152" s="217"/>
      <c r="AC152" s="142"/>
      <c r="AD152" s="16">
        <f t="shared" si="41"/>
        <v>0</v>
      </c>
      <c r="AE152" s="17"/>
      <c r="AF152" s="2"/>
      <c r="AG152" s="2"/>
      <c r="AH152" s="2"/>
      <c r="AI152" s="2"/>
      <c r="AJ152" s="2"/>
      <c r="AK152" s="87"/>
      <c r="AL152" s="87"/>
    </row>
    <row r="153" spans="1:40" s="47" customFormat="1" x14ac:dyDescent="2.35">
      <c r="A153" s="12"/>
      <c r="B153" s="13" t="s">
        <v>167</v>
      </c>
      <c r="C153" s="14">
        <v>0</v>
      </c>
      <c r="D153" s="14">
        <v>0</v>
      </c>
      <c r="E153" s="14">
        <v>0</v>
      </c>
      <c r="F153" s="14">
        <v>0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12">
        <v>0</v>
      </c>
      <c r="Y153" s="14">
        <f t="shared" si="39"/>
        <v>0</v>
      </c>
      <c r="Z153" s="14">
        <f t="shared" si="40"/>
        <v>0</v>
      </c>
      <c r="AA153" s="13" t="s">
        <v>168</v>
      </c>
      <c r="AB153" s="217"/>
      <c r="AC153" s="142"/>
      <c r="AD153" s="16">
        <f t="shared" si="41"/>
        <v>0</v>
      </c>
      <c r="AE153" s="17"/>
      <c r="AF153" s="2"/>
      <c r="AG153" s="2"/>
      <c r="AH153" s="2"/>
      <c r="AI153" s="2"/>
      <c r="AJ153" s="2"/>
      <c r="AK153" s="87"/>
      <c r="AL153" s="87"/>
    </row>
    <row r="154" spans="1:40" s="47" customFormat="1" ht="116.25" customHeight="1" x14ac:dyDescent="2.35">
      <c r="A154" s="12"/>
      <c r="B154" s="13" t="s">
        <v>169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v>0</v>
      </c>
      <c r="I154" s="14">
        <v>0</v>
      </c>
      <c r="J154" s="14">
        <v>0</v>
      </c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12">
        <v>0</v>
      </c>
      <c r="Y154" s="14">
        <f t="shared" si="39"/>
        <v>0</v>
      </c>
      <c r="Z154" s="14">
        <f t="shared" si="40"/>
        <v>0</v>
      </c>
      <c r="AA154" s="13" t="s">
        <v>169</v>
      </c>
      <c r="AB154" s="218"/>
      <c r="AC154" s="143"/>
      <c r="AD154" s="16">
        <f t="shared" si="41"/>
        <v>0</v>
      </c>
      <c r="AE154" s="17"/>
      <c r="AF154" s="2"/>
      <c r="AG154" s="2"/>
      <c r="AH154" s="2"/>
      <c r="AI154" s="2"/>
      <c r="AJ154" s="2"/>
      <c r="AK154" s="90"/>
      <c r="AL154" s="90"/>
      <c r="AM154" s="91"/>
      <c r="AN154" s="88"/>
    </row>
    <row r="155" spans="1:40" s="12" customFormat="1" ht="113.25" customHeight="1" x14ac:dyDescent="2.1">
      <c r="B155" s="13"/>
      <c r="C155" s="30">
        <f t="shared" ref="C155:W155" si="42">SUM(C144:C154)</f>
        <v>0</v>
      </c>
      <c r="D155" s="30">
        <f t="shared" si="42"/>
        <v>0</v>
      </c>
      <c r="E155" s="30">
        <f t="shared" si="42"/>
        <v>0</v>
      </c>
      <c r="F155" s="30">
        <f t="shared" si="42"/>
        <v>0</v>
      </c>
      <c r="G155" s="30">
        <f t="shared" si="42"/>
        <v>0</v>
      </c>
      <c r="H155" s="30">
        <f t="shared" si="42"/>
        <v>0</v>
      </c>
      <c r="I155" s="30">
        <f t="shared" si="42"/>
        <v>0</v>
      </c>
      <c r="J155" s="30">
        <f t="shared" si="42"/>
        <v>0</v>
      </c>
      <c r="K155" s="30">
        <f t="shared" si="42"/>
        <v>0</v>
      </c>
      <c r="L155" s="30">
        <f t="shared" si="42"/>
        <v>0</v>
      </c>
      <c r="M155" s="30">
        <f t="shared" si="42"/>
        <v>0</v>
      </c>
      <c r="N155" s="30">
        <f t="shared" si="42"/>
        <v>0</v>
      </c>
      <c r="O155" s="30">
        <f t="shared" si="42"/>
        <v>0</v>
      </c>
      <c r="P155" s="30">
        <f t="shared" si="42"/>
        <v>0</v>
      </c>
      <c r="Q155" s="30">
        <f t="shared" si="42"/>
        <v>0</v>
      </c>
      <c r="R155" s="30">
        <f t="shared" si="42"/>
        <v>0</v>
      </c>
      <c r="S155" s="30">
        <f t="shared" si="42"/>
        <v>0</v>
      </c>
      <c r="T155" s="30">
        <f t="shared" si="42"/>
        <v>0</v>
      </c>
      <c r="U155" s="30">
        <f t="shared" si="42"/>
        <v>0</v>
      </c>
      <c r="V155" s="30">
        <f t="shared" si="42"/>
        <v>0</v>
      </c>
      <c r="W155" s="30">
        <f t="shared" si="42"/>
        <v>0</v>
      </c>
      <c r="X155" s="113"/>
      <c r="Y155" s="14"/>
      <c r="Z155" s="14"/>
      <c r="AA155" s="13"/>
      <c r="AB155" s="172"/>
      <c r="AC155" s="173"/>
      <c r="AD155" s="16">
        <v>0</v>
      </c>
      <c r="AE155" s="17"/>
      <c r="AF155" s="2"/>
      <c r="AG155" s="2"/>
      <c r="AH155" s="2"/>
      <c r="AI155" s="2"/>
      <c r="AJ155" s="2"/>
      <c r="AK155" s="92"/>
      <c r="AL155" s="92"/>
    </row>
    <row r="156" spans="1:40" ht="126" customHeight="1" x14ac:dyDescent="1.85">
      <c r="B156" s="132" t="s">
        <v>0</v>
      </c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"/>
      <c r="AK156" s="92"/>
      <c r="AL156" s="92"/>
    </row>
    <row r="157" spans="1:40" s="88" customFormat="1" ht="138.75" customHeight="1" x14ac:dyDescent="2.35">
      <c r="A157"/>
      <c r="B157" s="130" t="s">
        <v>170</v>
      </c>
      <c r="C157" s="128" t="s">
        <v>2</v>
      </c>
      <c r="D157" s="129"/>
      <c r="E157" s="128" t="s">
        <v>3</v>
      </c>
      <c r="F157" s="129"/>
      <c r="G157" s="128" t="s">
        <v>4</v>
      </c>
      <c r="H157" s="129"/>
      <c r="I157" s="128" t="s">
        <v>5</v>
      </c>
      <c r="J157" s="129"/>
      <c r="K157" s="128" t="s">
        <v>6</v>
      </c>
      <c r="L157" s="129"/>
      <c r="M157" s="128" t="s">
        <v>7</v>
      </c>
      <c r="N157" s="129"/>
      <c r="O157" s="128" t="s">
        <v>8</v>
      </c>
      <c r="P157" s="129"/>
      <c r="Q157" s="128" t="s">
        <v>9</v>
      </c>
      <c r="R157" s="129"/>
      <c r="S157" s="128" t="s">
        <v>10</v>
      </c>
      <c r="T157" s="129"/>
      <c r="U157" s="128" t="s">
        <v>11</v>
      </c>
      <c r="V157" s="129"/>
      <c r="W157" s="130" t="s">
        <v>12</v>
      </c>
      <c r="X157" s="110"/>
      <c r="Y157" s="130" t="s">
        <v>13</v>
      </c>
      <c r="Z157" s="130" t="s">
        <v>14</v>
      </c>
      <c r="AA157" s="130" t="s">
        <v>170</v>
      </c>
      <c r="AB157" s="227"/>
      <c r="AC157" s="228"/>
      <c r="AD157" s="6" t="s">
        <v>16</v>
      </c>
      <c r="AE157" s="7"/>
      <c r="AF157" s="2"/>
      <c r="AG157" s="2"/>
      <c r="AH157" s="2"/>
      <c r="AI157" s="2"/>
      <c r="AJ157" s="2"/>
      <c r="AK157" s="8"/>
      <c r="AL157" s="8"/>
      <c r="AM157" s="12"/>
      <c r="AN157" s="12"/>
    </row>
    <row r="158" spans="1:40" s="4" customFormat="1" ht="138" customHeight="1" x14ac:dyDescent="2.35">
      <c r="B158" s="131"/>
      <c r="C158" s="9" t="s">
        <v>17</v>
      </c>
      <c r="D158" s="9" t="s">
        <v>18</v>
      </c>
      <c r="E158" s="9" t="s">
        <v>17</v>
      </c>
      <c r="F158" s="9" t="s">
        <v>18</v>
      </c>
      <c r="G158" s="9" t="s">
        <v>17</v>
      </c>
      <c r="H158" s="9" t="s">
        <v>18</v>
      </c>
      <c r="I158" s="9" t="s">
        <v>17</v>
      </c>
      <c r="J158" s="9" t="s">
        <v>18</v>
      </c>
      <c r="K158" s="9" t="s">
        <v>17</v>
      </c>
      <c r="L158" s="9" t="s">
        <v>18</v>
      </c>
      <c r="M158" s="9" t="s">
        <v>17</v>
      </c>
      <c r="N158" s="9" t="s">
        <v>18</v>
      </c>
      <c r="O158" s="9" t="s">
        <v>17</v>
      </c>
      <c r="P158" s="9" t="s">
        <v>18</v>
      </c>
      <c r="Q158" s="9" t="s">
        <v>17</v>
      </c>
      <c r="R158" s="9" t="s">
        <v>18</v>
      </c>
      <c r="S158" s="9" t="s">
        <v>17</v>
      </c>
      <c r="T158" s="9" t="s">
        <v>18</v>
      </c>
      <c r="U158" s="9" t="s">
        <v>17</v>
      </c>
      <c r="V158" s="9" t="s">
        <v>18</v>
      </c>
      <c r="W158" s="131"/>
      <c r="X158" s="111"/>
      <c r="Y158" s="131"/>
      <c r="Z158" s="131"/>
      <c r="AA158" s="131"/>
      <c r="AB158" s="10"/>
      <c r="AC158" s="11"/>
      <c r="AD158" s="6">
        <v>0</v>
      </c>
      <c r="AE158" s="7"/>
      <c r="AF158" s="2"/>
      <c r="AG158" s="2"/>
      <c r="AH158" s="2"/>
      <c r="AI158" s="2"/>
      <c r="AJ158" s="2"/>
      <c r="AK158" s="8"/>
      <c r="AL158" s="8"/>
    </row>
    <row r="159" spans="1:40" s="12" customFormat="1" ht="110.25" customHeight="1" x14ac:dyDescent="2.35">
      <c r="B159" s="13" t="s">
        <v>171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2">
        <v>0</v>
      </c>
      <c r="Y159" s="14">
        <f t="shared" ref="Y159:Y164" si="43">SUM(C159,E159,G159,I159,K159,,M159,O159,Q159,S159,U159,W159)</f>
        <v>0</v>
      </c>
      <c r="Z159" s="14">
        <f t="shared" ref="Z159:Z164" si="44">SUM(D159,F159,H159,J159,L159,,N159,P159,R159,T159,V159)</f>
        <v>0</v>
      </c>
      <c r="AA159" s="13" t="s">
        <v>172</v>
      </c>
      <c r="AB159" s="216">
        <f>SUM(Y159:Y164)</f>
        <v>0</v>
      </c>
      <c r="AC159" s="141"/>
      <c r="AD159" s="16">
        <f>X159</f>
        <v>0</v>
      </c>
      <c r="AE159" s="17"/>
      <c r="AF159" s="2"/>
      <c r="AG159" s="2"/>
      <c r="AH159" s="2"/>
      <c r="AI159" s="2"/>
      <c r="AJ159" s="2"/>
      <c r="AK159" s="8"/>
      <c r="AL159" s="8"/>
    </row>
    <row r="160" spans="1:40" s="12" customFormat="1" ht="110.25" customHeight="1" x14ac:dyDescent="2.35">
      <c r="B160" s="13" t="s">
        <v>173</v>
      </c>
      <c r="C160" s="14">
        <v>0</v>
      </c>
      <c r="D160" s="14">
        <v>0</v>
      </c>
      <c r="E160" s="14">
        <v>0</v>
      </c>
      <c r="F160" s="14">
        <v>0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12">
        <v>0</v>
      </c>
      <c r="Y160" s="14">
        <f t="shared" si="43"/>
        <v>0</v>
      </c>
      <c r="Z160" s="14">
        <f t="shared" si="44"/>
        <v>0</v>
      </c>
      <c r="AA160" s="13" t="s">
        <v>173</v>
      </c>
      <c r="AB160" s="217"/>
      <c r="AC160" s="142"/>
      <c r="AD160" s="16">
        <f t="shared" ref="AD160:AD164" si="45">X160</f>
        <v>0</v>
      </c>
      <c r="AE160" s="17"/>
      <c r="AF160" s="2"/>
      <c r="AG160" s="2"/>
      <c r="AH160" s="2"/>
      <c r="AI160" s="2"/>
      <c r="AJ160" s="2"/>
      <c r="AK160" s="8"/>
      <c r="AL160" s="8"/>
    </row>
    <row r="161" spans="2:40" s="12" customFormat="1" ht="110.25" customHeight="1" x14ac:dyDescent="2.35">
      <c r="B161" s="13" t="s">
        <v>174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12">
        <v>0</v>
      </c>
      <c r="Y161" s="14">
        <f t="shared" si="43"/>
        <v>0</v>
      </c>
      <c r="Z161" s="14">
        <f t="shared" si="44"/>
        <v>0</v>
      </c>
      <c r="AA161" s="13" t="s">
        <v>174</v>
      </c>
      <c r="AB161" s="217"/>
      <c r="AC161" s="142"/>
      <c r="AD161" s="16">
        <f t="shared" si="45"/>
        <v>0</v>
      </c>
      <c r="AE161" s="17"/>
      <c r="AF161" s="2"/>
      <c r="AG161" s="2"/>
      <c r="AH161" s="2"/>
      <c r="AI161" s="2"/>
      <c r="AJ161" s="2"/>
      <c r="AK161" s="8"/>
      <c r="AL161" s="8"/>
    </row>
    <row r="162" spans="2:40" s="12" customFormat="1" ht="110.25" customHeight="1" x14ac:dyDescent="2.35">
      <c r="B162" s="13" t="s">
        <v>175</v>
      </c>
      <c r="C162" s="14">
        <v>0</v>
      </c>
      <c r="D162" s="14">
        <v>0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2">
        <v>0</v>
      </c>
      <c r="Y162" s="14">
        <f t="shared" si="43"/>
        <v>0</v>
      </c>
      <c r="Z162" s="14">
        <f t="shared" si="44"/>
        <v>0</v>
      </c>
      <c r="AA162" s="13" t="s">
        <v>175</v>
      </c>
      <c r="AB162" s="217"/>
      <c r="AC162" s="142"/>
      <c r="AD162" s="16">
        <f t="shared" si="45"/>
        <v>0</v>
      </c>
      <c r="AE162" s="17"/>
      <c r="AF162" s="2"/>
      <c r="AG162" s="2"/>
      <c r="AH162" s="2"/>
      <c r="AI162" s="2"/>
      <c r="AJ162" s="2"/>
      <c r="AK162" s="8"/>
      <c r="AL162" s="8"/>
    </row>
    <row r="163" spans="2:40" s="12" customFormat="1" ht="110.25" customHeight="1" x14ac:dyDescent="2.35">
      <c r="B163" s="13" t="s">
        <v>176</v>
      </c>
      <c r="C163" s="14">
        <v>0</v>
      </c>
      <c r="D163" s="14">
        <v>0</v>
      </c>
      <c r="E163" s="14">
        <v>0</v>
      </c>
      <c r="F163" s="14">
        <v>0</v>
      </c>
      <c r="G163" s="14">
        <v>0</v>
      </c>
      <c r="H163" s="14">
        <v>0</v>
      </c>
      <c r="I163" s="14">
        <v>0</v>
      </c>
      <c r="J163" s="14">
        <v>0</v>
      </c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12">
        <v>0</v>
      </c>
      <c r="Y163" s="14">
        <f t="shared" si="43"/>
        <v>0</v>
      </c>
      <c r="Z163" s="14">
        <f t="shared" si="44"/>
        <v>0</v>
      </c>
      <c r="AA163" s="13" t="s">
        <v>176</v>
      </c>
      <c r="AB163" s="217"/>
      <c r="AC163" s="142"/>
      <c r="AD163" s="16">
        <f t="shared" si="45"/>
        <v>0</v>
      </c>
      <c r="AE163" s="17"/>
      <c r="AF163" s="2"/>
      <c r="AG163" s="2"/>
      <c r="AH163" s="2"/>
      <c r="AI163" s="2"/>
      <c r="AJ163" s="2"/>
      <c r="AK163" s="8"/>
      <c r="AL163" s="8"/>
    </row>
    <row r="164" spans="2:40" s="12" customFormat="1" ht="110.25" customHeight="1" x14ac:dyDescent="2.35">
      <c r="B164" s="13" t="s">
        <v>177</v>
      </c>
      <c r="C164" s="14">
        <v>0</v>
      </c>
      <c r="D164" s="14">
        <v>0</v>
      </c>
      <c r="E164" s="14">
        <v>0</v>
      </c>
      <c r="F164" s="14">
        <v>0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12">
        <v>0</v>
      </c>
      <c r="Y164" s="14">
        <f t="shared" si="43"/>
        <v>0</v>
      </c>
      <c r="Z164" s="14">
        <f t="shared" si="44"/>
        <v>0</v>
      </c>
      <c r="AA164" s="13" t="s">
        <v>177</v>
      </c>
      <c r="AB164" s="218"/>
      <c r="AC164" s="143"/>
      <c r="AD164" s="16">
        <f t="shared" si="45"/>
        <v>0</v>
      </c>
      <c r="AE164" s="17"/>
      <c r="AF164" s="2"/>
      <c r="AG164" s="2"/>
      <c r="AH164" s="2"/>
      <c r="AI164" s="2"/>
      <c r="AJ164" s="2"/>
      <c r="AK164" s="3"/>
      <c r="AL164" s="3"/>
      <c r="AM164" s="2"/>
      <c r="AN164" s="2"/>
    </row>
    <row r="165" spans="2:40" s="2" customFormat="1" ht="123.75" customHeight="1" thickBot="1" x14ac:dyDescent="2.4">
      <c r="B165" s="79" t="s">
        <v>178</v>
      </c>
      <c r="C165" s="128" t="s">
        <v>2</v>
      </c>
      <c r="D165" s="129"/>
      <c r="E165" s="128" t="s">
        <v>3</v>
      </c>
      <c r="F165" s="129"/>
      <c r="G165" s="128" t="s">
        <v>4</v>
      </c>
      <c r="H165" s="129"/>
      <c r="I165" s="128" t="s">
        <v>5</v>
      </c>
      <c r="J165" s="129"/>
      <c r="K165" s="128" t="s">
        <v>6</v>
      </c>
      <c r="L165" s="129"/>
      <c r="M165" s="128" t="s">
        <v>7</v>
      </c>
      <c r="N165" s="129"/>
      <c r="O165" s="128" t="s">
        <v>8</v>
      </c>
      <c r="P165" s="129"/>
      <c r="Q165" s="128" t="s">
        <v>9</v>
      </c>
      <c r="R165" s="129"/>
      <c r="S165" s="128" t="s">
        <v>10</v>
      </c>
      <c r="T165" s="129"/>
      <c r="U165" s="128" t="s">
        <v>11</v>
      </c>
      <c r="V165" s="129"/>
      <c r="W165" s="9" t="s">
        <v>12</v>
      </c>
      <c r="X165" s="117"/>
      <c r="Y165" s="232" t="s">
        <v>13</v>
      </c>
      <c r="Z165" s="233"/>
      <c r="AA165" s="79" t="s">
        <v>178</v>
      </c>
      <c r="AB165" s="134"/>
      <c r="AC165" s="135"/>
      <c r="AD165" s="6" t="s">
        <v>16</v>
      </c>
      <c r="AE165" s="7"/>
      <c r="AF165" s="93"/>
      <c r="AG165" s="93"/>
      <c r="AK165" s="8"/>
      <c r="AL165" s="8"/>
      <c r="AM165" s="12"/>
      <c r="AN165" s="12"/>
    </row>
    <row r="166" spans="2:40" s="12" customFormat="1" ht="123.75" customHeight="1" x14ac:dyDescent="2.35">
      <c r="B166" s="13" t="s">
        <v>179</v>
      </c>
      <c r="C166" s="19">
        <v>0</v>
      </c>
      <c r="D166" s="20"/>
      <c r="E166" s="19">
        <v>0</v>
      </c>
      <c r="F166" s="20"/>
      <c r="G166" s="19">
        <v>0</v>
      </c>
      <c r="H166" s="20"/>
      <c r="I166" s="19">
        <v>0</v>
      </c>
      <c r="J166" s="20"/>
      <c r="K166" s="19">
        <v>0</v>
      </c>
      <c r="L166" s="20"/>
      <c r="M166" s="19">
        <v>0</v>
      </c>
      <c r="N166" s="20"/>
      <c r="O166" s="19">
        <v>0</v>
      </c>
      <c r="P166" s="20"/>
      <c r="Q166" s="19">
        <v>0</v>
      </c>
      <c r="R166" s="20"/>
      <c r="S166" s="19">
        <v>0</v>
      </c>
      <c r="T166" s="20"/>
      <c r="U166" s="19">
        <v>0</v>
      </c>
      <c r="V166" s="20"/>
      <c r="W166" s="14">
        <v>0</v>
      </c>
      <c r="X166" s="120">
        <v>0</v>
      </c>
      <c r="Y166" s="230">
        <f t="shared" ref="Y166:Y189" si="46">SUM(C166:W166)</f>
        <v>0</v>
      </c>
      <c r="Z166" s="231"/>
      <c r="AA166" s="13" t="s">
        <v>179</v>
      </c>
      <c r="AB166" s="216">
        <f>SUM(Y166:Y173)</f>
        <v>0</v>
      </c>
      <c r="AC166" s="141"/>
      <c r="AD166" s="16">
        <f>X166</f>
        <v>0</v>
      </c>
      <c r="AE166" s="94"/>
      <c r="AF166" s="162" t="s">
        <v>180</v>
      </c>
      <c r="AG166" s="163"/>
      <c r="AH166" s="163"/>
      <c r="AI166" s="163"/>
      <c r="AJ166" s="164"/>
      <c r="AK166" s="8"/>
      <c r="AL166" s="8"/>
    </row>
    <row r="167" spans="2:40" s="12" customFormat="1" ht="123.75" customHeight="1" x14ac:dyDescent="2.35">
      <c r="B167" s="13" t="s">
        <v>181</v>
      </c>
      <c r="C167" s="19">
        <v>0</v>
      </c>
      <c r="D167" s="20"/>
      <c r="E167" s="19">
        <v>0</v>
      </c>
      <c r="F167" s="20"/>
      <c r="G167" s="19">
        <v>0</v>
      </c>
      <c r="H167" s="20"/>
      <c r="I167" s="19">
        <v>0</v>
      </c>
      <c r="J167" s="20"/>
      <c r="K167" s="19">
        <v>0</v>
      </c>
      <c r="L167" s="20"/>
      <c r="M167" s="19">
        <v>0</v>
      </c>
      <c r="N167" s="20"/>
      <c r="O167" s="19">
        <v>0</v>
      </c>
      <c r="P167" s="20"/>
      <c r="Q167" s="19">
        <v>0</v>
      </c>
      <c r="R167" s="20"/>
      <c r="S167" s="19">
        <v>0</v>
      </c>
      <c r="T167" s="20"/>
      <c r="U167" s="19">
        <v>0</v>
      </c>
      <c r="V167" s="20"/>
      <c r="W167" s="14">
        <v>0</v>
      </c>
      <c r="X167" s="120">
        <v>0</v>
      </c>
      <c r="Y167" s="230">
        <f t="shared" si="46"/>
        <v>0</v>
      </c>
      <c r="Z167" s="231"/>
      <c r="AA167" s="13" t="s">
        <v>181</v>
      </c>
      <c r="AB167" s="217"/>
      <c r="AC167" s="142"/>
      <c r="AD167" s="16">
        <f t="shared" ref="AD167:AD172" si="47">X167</f>
        <v>0</v>
      </c>
      <c r="AE167" s="94"/>
      <c r="AF167" s="165"/>
      <c r="AG167" s="154"/>
      <c r="AH167" s="154"/>
      <c r="AI167" s="154"/>
      <c r="AJ167" s="155"/>
      <c r="AK167" s="8"/>
      <c r="AL167" s="8"/>
    </row>
    <row r="168" spans="2:40" s="12" customFormat="1" ht="123.75" customHeight="1" x14ac:dyDescent="2.35">
      <c r="B168" s="13" t="s">
        <v>182</v>
      </c>
      <c r="C168" s="19">
        <v>0</v>
      </c>
      <c r="D168" s="20"/>
      <c r="E168" s="19">
        <v>0</v>
      </c>
      <c r="F168" s="20"/>
      <c r="G168" s="19">
        <v>0</v>
      </c>
      <c r="H168" s="20"/>
      <c r="I168" s="19">
        <v>0</v>
      </c>
      <c r="J168" s="20"/>
      <c r="K168" s="19">
        <v>0</v>
      </c>
      <c r="L168" s="20"/>
      <c r="M168" s="19">
        <v>0</v>
      </c>
      <c r="N168" s="20"/>
      <c r="O168" s="19">
        <v>0</v>
      </c>
      <c r="P168" s="20"/>
      <c r="Q168" s="19">
        <v>0</v>
      </c>
      <c r="R168" s="20"/>
      <c r="S168" s="19">
        <v>0</v>
      </c>
      <c r="T168" s="20"/>
      <c r="U168" s="19">
        <v>0</v>
      </c>
      <c r="V168" s="20"/>
      <c r="W168" s="14">
        <v>0</v>
      </c>
      <c r="X168" s="120">
        <v>0</v>
      </c>
      <c r="Y168" s="230">
        <f t="shared" si="46"/>
        <v>0</v>
      </c>
      <c r="Z168" s="231"/>
      <c r="AA168" s="13" t="s">
        <v>182</v>
      </c>
      <c r="AB168" s="217"/>
      <c r="AC168" s="142"/>
      <c r="AD168" s="16">
        <f t="shared" si="47"/>
        <v>0</v>
      </c>
      <c r="AE168" s="94"/>
      <c r="AF168" s="165"/>
      <c r="AG168" s="154"/>
      <c r="AH168" s="154"/>
      <c r="AI168" s="154"/>
      <c r="AJ168" s="155"/>
      <c r="AK168" s="8"/>
      <c r="AL168" s="8"/>
    </row>
    <row r="169" spans="2:40" s="12" customFormat="1" ht="123.75" customHeight="1" x14ac:dyDescent="2.35">
      <c r="B169" s="13" t="s">
        <v>183</v>
      </c>
      <c r="C169" s="19">
        <v>0</v>
      </c>
      <c r="D169" s="20"/>
      <c r="E169" s="19">
        <v>0</v>
      </c>
      <c r="F169" s="20"/>
      <c r="G169" s="19">
        <v>0</v>
      </c>
      <c r="H169" s="20"/>
      <c r="I169" s="19">
        <v>0</v>
      </c>
      <c r="J169" s="20"/>
      <c r="K169" s="19">
        <v>0</v>
      </c>
      <c r="L169" s="20"/>
      <c r="M169" s="19">
        <v>0</v>
      </c>
      <c r="N169" s="20"/>
      <c r="O169" s="19">
        <v>0</v>
      </c>
      <c r="P169" s="20"/>
      <c r="Q169" s="19">
        <v>0</v>
      </c>
      <c r="R169" s="20"/>
      <c r="S169" s="19">
        <v>0</v>
      </c>
      <c r="T169" s="20"/>
      <c r="U169" s="19">
        <v>0</v>
      </c>
      <c r="V169" s="20"/>
      <c r="W169" s="14">
        <v>0</v>
      </c>
      <c r="X169" s="120">
        <v>0</v>
      </c>
      <c r="Y169" s="230">
        <f t="shared" si="46"/>
        <v>0</v>
      </c>
      <c r="Z169" s="231"/>
      <c r="AA169" s="13" t="s">
        <v>183</v>
      </c>
      <c r="AB169" s="217"/>
      <c r="AC169" s="142"/>
      <c r="AD169" s="16">
        <f t="shared" si="47"/>
        <v>0</v>
      </c>
      <c r="AE169" s="94"/>
      <c r="AF169" s="165"/>
      <c r="AG169" s="154"/>
      <c r="AH169" s="154"/>
      <c r="AI169" s="154"/>
      <c r="AJ169" s="155"/>
      <c r="AK169" s="8"/>
      <c r="AL169" s="8"/>
    </row>
    <row r="170" spans="2:40" s="12" customFormat="1" ht="123.75" customHeight="1" x14ac:dyDescent="2.35">
      <c r="B170" s="13" t="s">
        <v>184</v>
      </c>
      <c r="C170" s="19">
        <v>0</v>
      </c>
      <c r="D170" s="20"/>
      <c r="E170" s="19">
        <v>0</v>
      </c>
      <c r="F170" s="20"/>
      <c r="G170" s="19">
        <v>0</v>
      </c>
      <c r="H170" s="20"/>
      <c r="I170" s="19">
        <v>0</v>
      </c>
      <c r="J170" s="20"/>
      <c r="K170" s="19">
        <v>0</v>
      </c>
      <c r="L170" s="20"/>
      <c r="M170" s="19">
        <v>0</v>
      </c>
      <c r="N170" s="20"/>
      <c r="O170" s="19">
        <v>0</v>
      </c>
      <c r="P170" s="20"/>
      <c r="Q170" s="19">
        <v>0</v>
      </c>
      <c r="R170" s="20"/>
      <c r="S170" s="19">
        <v>0</v>
      </c>
      <c r="T170" s="20"/>
      <c r="U170" s="19">
        <v>0</v>
      </c>
      <c r="V170" s="20"/>
      <c r="W170" s="14">
        <v>0</v>
      </c>
      <c r="X170" s="120">
        <v>0</v>
      </c>
      <c r="Y170" s="230">
        <f t="shared" si="46"/>
        <v>0</v>
      </c>
      <c r="Z170" s="231"/>
      <c r="AA170" s="13" t="s">
        <v>184</v>
      </c>
      <c r="AB170" s="217"/>
      <c r="AC170" s="142"/>
      <c r="AD170" s="16">
        <f t="shared" si="47"/>
        <v>0</v>
      </c>
      <c r="AE170" s="94"/>
      <c r="AF170" s="153">
        <f>SUM(AD166:AD173)</f>
        <v>0</v>
      </c>
      <c r="AG170" s="154"/>
      <c r="AH170" s="154"/>
      <c r="AI170" s="154"/>
      <c r="AJ170" s="155"/>
      <c r="AK170" s="8"/>
      <c r="AL170" s="8"/>
    </row>
    <row r="171" spans="2:40" s="12" customFormat="1" ht="123.75" customHeight="1" x14ac:dyDescent="2.35">
      <c r="B171" s="13" t="s">
        <v>185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0">
        <v>0</v>
      </c>
      <c r="Y171" s="230">
        <f t="shared" si="46"/>
        <v>0</v>
      </c>
      <c r="Z171" s="231"/>
      <c r="AA171" s="13" t="s">
        <v>185</v>
      </c>
      <c r="AB171" s="217"/>
      <c r="AC171" s="142"/>
      <c r="AD171" s="16">
        <f t="shared" si="47"/>
        <v>0</v>
      </c>
      <c r="AE171" s="94"/>
      <c r="AF171" s="26"/>
      <c r="AG171" s="27"/>
      <c r="AH171" s="27"/>
      <c r="AI171" s="27"/>
      <c r="AJ171" s="28"/>
      <c r="AK171" s="8"/>
      <c r="AL171" s="8"/>
    </row>
    <row r="172" spans="2:40" s="12" customFormat="1" ht="123.75" customHeight="1" thickBot="1" x14ac:dyDescent="2.4">
      <c r="B172" s="13" t="s">
        <v>186</v>
      </c>
      <c r="C172" s="19">
        <v>0</v>
      </c>
      <c r="D172" s="20"/>
      <c r="E172" s="19">
        <v>0</v>
      </c>
      <c r="F172" s="20"/>
      <c r="G172" s="19">
        <v>0</v>
      </c>
      <c r="H172" s="20"/>
      <c r="I172" s="19">
        <v>0</v>
      </c>
      <c r="J172" s="20"/>
      <c r="K172" s="19">
        <v>0</v>
      </c>
      <c r="L172" s="20"/>
      <c r="M172" s="19">
        <v>0</v>
      </c>
      <c r="N172" s="20"/>
      <c r="O172" s="19">
        <v>0</v>
      </c>
      <c r="P172" s="20"/>
      <c r="Q172" s="19">
        <v>0</v>
      </c>
      <c r="R172" s="20"/>
      <c r="S172" s="19">
        <v>0</v>
      </c>
      <c r="T172" s="20"/>
      <c r="U172" s="19">
        <v>0</v>
      </c>
      <c r="V172" s="20"/>
      <c r="W172" s="14">
        <v>0</v>
      </c>
      <c r="X172" s="120">
        <v>0</v>
      </c>
      <c r="Y172" s="230">
        <f t="shared" si="46"/>
        <v>0</v>
      </c>
      <c r="Z172" s="231"/>
      <c r="AA172" s="13" t="s">
        <v>186</v>
      </c>
      <c r="AB172" s="217"/>
      <c r="AC172" s="142"/>
      <c r="AD172" s="16">
        <f t="shared" si="47"/>
        <v>0</v>
      </c>
      <c r="AE172" s="94"/>
      <c r="AF172" s="83"/>
      <c r="AG172" s="84"/>
      <c r="AH172" s="84"/>
      <c r="AI172" s="84"/>
      <c r="AJ172" s="85"/>
      <c r="AK172" s="8"/>
      <c r="AL172" s="8"/>
    </row>
    <row r="173" spans="2:40" s="12" customFormat="1" ht="123.75" customHeight="1" x14ac:dyDescent="2.35">
      <c r="B173" s="13" t="s">
        <v>187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0">
        <v>0</v>
      </c>
      <c r="Y173" s="230">
        <f t="shared" si="46"/>
        <v>0</v>
      </c>
      <c r="Z173" s="231"/>
      <c r="AA173" s="13" t="s">
        <v>187</v>
      </c>
      <c r="AB173" s="218"/>
      <c r="AC173" s="143"/>
      <c r="AD173" s="16">
        <f>X173</f>
        <v>0</v>
      </c>
      <c r="AE173" s="94"/>
      <c r="AF173" s="24"/>
      <c r="AG173" s="24"/>
      <c r="AH173" s="24"/>
      <c r="AI173" s="24"/>
      <c r="AJ173" s="24"/>
      <c r="AK173" s="8"/>
      <c r="AL173" s="8"/>
    </row>
    <row r="174" spans="2:40" ht="123.75" customHeight="1" x14ac:dyDescent="2.35">
      <c r="B174" s="86" t="s">
        <v>188</v>
      </c>
      <c r="C174" s="95">
        <f>SUM(C166:C173)</f>
        <v>0</v>
      </c>
      <c r="D174" s="96"/>
      <c r="E174" s="95">
        <f t="shared" ref="E174:W174" si="48">SUM(E166:E173)</f>
        <v>0</v>
      </c>
      <c r="F174" s="96"/>
      <c r="G174" s="95">
        <f t="shared" si="48"/>
        <v>0</v>
      </c>
      <c r="H174" s="96"/>
      <c r="I174" s="95">
        <f t="shared" si="48"/>
        <v>0</v>
      </c>
      <c r="J174" s="96"/>
      <c r="K174" s="95">
        <f t="shared" si="48"/>
        <v>0</v>
      </c>
      <c r="L174" s="96"/>
      <c r="M174" s="95">
        <f t="shared" si="48"/>
        <v>0</v>
      </c>
      <c r="N174" s="96"/>
      <c r="O174" s="95">
        <f t="shared" si="48"/>
        <v>0</v>
      </c>
      <c r="P174" s="96"/>
      <c r="Q174" s="95">
        <f t="shared" si="48"/>
        <v>0</v>
      </c>
      <c r="R174" s="96"/>
      <c r="S174" s="95">
        <f t="shared" si="48"/>
        <v>0</v>
      </c>
      <c r="T174" s="96"/>
      <c r="U174" s="95">
        <f t="shared" si="48"/>
        <v>0</v>
      </c>
      <c r="V174" s="96"/>
      <c r="W174" s="97">
        <f t="shared" si="48"/>
        <v>0</v>
      </c>
      <c r="X174" s="121"/>
      <c r="Y174" s="232">
        <f t="shared" si="46"/>
        <v>0</v>
      </c>
      <c r="Z174" s="233"/>
      <c r="AA174" s="86" t="s">
        <v>189</v>
      </c>
      <c r="AB174" s="227"/>
      <c r="AC174" s="228"/>
      <c r="AD174" s="6" t="s">
        <v>16</v>
      </c>
      <c r="AE174" s="7"/>
    </row>
    <row r="175" spans="2:40" s="12" customFormat="1" ht="123.75" customHeight="1" x14ac:dyDescent="2.35">
      <c r="B175" s="13" t="s">
        <v>190</v>
      </c>
      <c r="C175" s="19">
        <v>0</v>
      </c>
      <c r="D175" s="20"/>
      <c r="E175" s="19">
        <v>0</v>
      </c>
      <c r="F175" s="20"/>
      <c r="G175" s="19">
        <v>0</v>
      </c>
      <c r="H175" s="20"/>
      <c r="I175" s="19">
        <v>0</v>
      </c>
      <c r="J175" s="20"/>
      <c r="K175" s="19">
        <v>0</v>
      </c>
      <c r="L175" s="20"/>
      <c r="M175" s="19">
        <v>0</v>
      </c>
      <c r="N175" s="20"/>
      <c r="O175" s="19">
        <v>0</v>
      </c>
      <c r="P175" s="20"/>
      <c r="Q175" s="19">
        <v>0</v>
      </c>
      <c r="R175" s="20"/>
      <c r="S175" s="19">
        <v>0</v>
      </c>
      <c r="T175" s="20"/>
      <c r="U175" s="19">
        <v>0</v>
      </c>
      <c r="V175" s="20"/>
      <c r="W175" s="14">
        <v>0</v>
      </c>
      <c r="X175" s="120">
        <v>0</v>
      </c>
      <c r="Y175" s="230">
        <f t="shared" si="46"/>
        <v>0</v>
      </c>
      <c r="Z175" s="231"/>
      <c r="AA175" s="13" t="s">
        <v>190</v>
      </c>
      <c r="AB175" s="172"/>
      <c r="AC175" s="173"/>
      <c r="AD175" s="16">
        <f>X175</f>
        <v>0</v>
      </c>
      <c r="AE175" s="98"/>
      <c r="AF175" s="99"/>
      <c r="AG175" s="99"/>
      <c r="AH175" s="99"/>
      <c r="AI175" s="99"/>
      <c r="AJ175" s="99"/>
      <c r="AK175" s="8"/>
      <c r="AL175" s="8"/>
    </row>
    <row r="176" spans="2:40" s="12" customFormat="1" ht="123.75" customHeight="1" x14ac:dyDescent="2.35">
      <c r="B176" s="13" t="s">
        <v>191</v>
      </c>
      <c r="C176" s="19">
        <v>0</v>
      </c>
      <c r="D176" s="20"/>
      <c r="E176" s="19">
        <v>0</v>
      </c>
      <c r="F176" s="20"/>
      <c r="G176" s="19">
        <v>0</v>
      </c>
      <c r="H176" s="20"/>
      <c r="I176" s="19">
        <v>0</v>
      </c>
      <c r="J176" s="20"/>
      <c r="K176" s="19">
        <v>0</v>
      </c>
      <c r="L176" s="20"/>
      <c r="M176" s="19">
        <v>0</v>
      </c>
      <c r="N176" s="20"/>
      <c r="O176" s="19">
        <v>0</v>
      </c>
      <c r="P176" s="20"/>
      <c r="Q176" s="19">
        <v>0</v>
      </c>
      <c r="R176" s="20"/>
      <c r="S176" s="19">
        <v>0</v>
      </c>
      <c r="T176" s="20"/>
      <c r="U176" s="19">
        <v>0</v>
      </c>
      <c r="V176" s="20"/>
      <c r="W176" s="14">
        <v>0</v>
      </c>
      <c r="X176" s="120">
        <v>0</v>
      </c>
      <c r="Y176" s="230">
        <f t="shared" si="46"/>
        <v>0</v>
      </c>
      <c r="Z176" s="231"/>
      <c r="AA176" s="13" t="s">
        <v>191</v>
      </c>
      <c r="AB176" s="172"/>
      <c r="AC176" s="173"/>
      <c r="AD176" s="16">
        <f>X176</f>
        <v>0</v>
      </c>
      <c r="AE176" s="98"/>
      <c r="AF176" s="99"/>
      <c r="AG176" s="99"/>
      <c r="AH176" s="99"/>
      <c r="AI176" s="99"/>
      <c r="AJ176" s="99"/>
      <c r="AK176" s="8"/>
      <c r="AL176" s="8"/>
    </row>
    <row r="177" spans="2:40" s="12" customFormat="1" ht="123.75" customHeight="1" x14ac:dyDescent="2.35">
      <c r="B177" s="13" t="s">
        <v>192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0">
        <v>0</v>
      </c>
      <c r="Y177" s="230">
        <f t="shared" si="46"/>
        <v>0</v>
      </c>
      <c r="Z177" s="231"/>
      <c r="AA177" s="13" t="s">
        <v>192</v>
      </c>
      <c r="AB177" s="172"/>
      <c r="AC177" s="173"/>
      <c r="AD177" s="16">
        <f>X177</f>
        <v>0</v>
      </c>
      <c r="AE177" s="98"/>
      <c r="AF177" s="99"/>
      <c r="AG177" s="99"/>
      <c r="AH177" s="99"/>
      <c r="AI177" s="99"/>
      <c r="AJ177" s="99"/>
      <c r="AK177" s="8"/>
      <c r="AL177" s="8"/>
    </row>
    <row r="178" spans="2:40" s="12" customFormat="1" ht="123.75" customHeight="1" x14ac:dyDescent="2.35">
      <c r="B178" s="13" t="s">
        <v>193</v>
      </c>
      <c r="C178" s="19">
        <v>0</v>
      </c>
      <c r="D178" s="20"/>
      <c r="E178" s="19">
        <v>0</v>
      </c>
      <c r="F178" s="20"/>
      <c r="G178" s="19">
        <v>0</v>
      </c>
      <c r="H178" s="20"/>
      <c r="I178" s="19">
        <v>0</v>
      </c>
      <c r="J178" s="20"/>
      <c r="K178" s="19">
        <v>0</v>
      </c>
      <c r="L178" s="20"/>
      <c r="M178" s="19">
        <v>0</v>
      </c>
      <c r="N178" s="20"/>
      <c r="O178" s="19">
        <v>0</v>
      </c>
      <c r="P178" s="20"/>
      <c r="Q178" s="19">
        <v>0</v>
      </c>
      <c r="R178" s="20"/>
      <c r="S178" s="19">
        <v>0</v>
      </c>
      <c r="T178" s="20"/>
      <c r="U178" s="19">
        <v>0</v>
      </c>
      <c r="V178" s="20"/>
      <c r="W178" s="14">
        <v>0</v>
      </c>
      <c r="X178" s="120">
        <v>0</v>
      </c>
      <c r="Y178" s="230">
        <f t="shared" si="46"/>
        <v>0</v>
      </c>
      <c r="Z178" s="231"/>
      <c r="AA178" s="13" t="s">
        <v>193</v>
      </c>
      <c r="AB178" s="172"/>
      <c r="AC178" s="173"/>
      <c r="AD178" s="16">
        <f t="shared" ref="AD178:AD189" si="49">X178</f>
        <v>0</v>
      </c>
      <c r="AE178" s="98"/>
      <c r="AF178" s="99"/>
      <c r="AG178" s="99"/>
      <c r="AH178" s="99"/>
      <c r="AI178" s="99"/>
      <c r="AJ178" s="99"/>
      <c r="AK178" s="8"/>
      <c r="AL178" s="8"/>
    </row>
    <row r="179" spans="2:40" s="12" customFormat="1" ht="123.75" customHeight="1" x14ac:dyDescent="2.35">
      <c r="B179" s="13" t="s">
        <v>194</v>
      </c>
      <c r="C179" s="19">
        <v>0</v>
      </c>
      <c r="D179" s="20"/>
      <c r="E179" s="19">
        <v>0</v>
      </c>
      <c r="F179" s="20"/>
      <c r="G179" s="19">
        <v>0</v>
      </c>
      <c r="H179" s="20"/>
      <c r="I179" s="19">
        <v>0</v>
      </c>
      <c r="J179" s="20"/>
      <c r="K179" s="19">
        <v>0</v>
      </c>
      <c r="L179" s="20"/>
      <c r="M179" s="19">
        <v>0</v>
      </c>
      <c r="N179" s="20"/>
      <c r="O179" s="19">
        <v>0</v>
      </c>
      <c r="P179" s="20"/>
      <c r="Q179" s="19">
        <v>0</v>
      </c>
      <c r="R179" s="20"/>
      <c r="S179" s="19">
        <v>0</v>
      </c>
      <c r="T179" s="20"/>
      <c r="U179" s="19">
        <v>0</v>
      </c>
      <c r="V179" s="20"/>
      <c r="W179" s="14">
        <v>0</v>
      </c>
      <c r="X179" s="120">
        <v>0</v>
      </c>
      <c r="Y179" s="230">
        <f t="shared" si="46"/>
        <v>0</v>
      </c>
      <c r="Z179" s="231"/>
      <c r="AA179" s="13" t="s">
        <v>194</v>
      </c>
      <c r="AB179" s="172"/>
      <c r="AC179" s="173"/>
      <c r="AD179" s="16">
        <f t="shared" si="49"/>
        <v>0</v>
      </c>
      <c r="AE179" s="98"/>
      <c r="AF179" s="99"/>
      <c r="AG179" s="99"/>
      <c r="AH179" s="99"/>
      <c r="AI179" s="99"/>
      <c r="AJ179" s="99"/>
      <c r="AK179" s="8"/>
      <c r="AL179" s="8"/>
    </row>
    <row r="180" spans="2:40" s="12" customFormat="1" ht="123.75" customHeight="1" x14ac:dyDescent="2.35">
      <c r="B180" s="13" t="s">
        <v>195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0">
        <v>0</v>
      </c>
      <c r="Y180" s="230">
        <f t="shared" si="46"/>
        <v>0</v>
      </c>
      <c r="Z180" s="231"/>
      <c r="AA180" s="13" t="s">
        <v>195</v>
      </c>
      <c r="AB180" s="172"/>
      <c r="AC180" s="173"/>
      <c r="AD180" s="16">
        <f t="shared" si="49"/>
        <v>0</v>
      </c>
      <c r="AE180" s="98"/>
      <c r="AF180" s="99"/>
      <c r="AG180" s="234"/>
      <c r="AH180" s="234"/>
      <c r="AI180" s="234"/>
      <c r="AJ180" s="99"/>
      <c r="AK180" s="8"/>
      <c r="AL180" s="8"/>
    </row>
    <row r="181" spans="2:40" s="12" customFormat="1" ht="127.5" customHeight="1" x14ac:dyDescent="2.35">
      <c r="B181" s="13" t="s">
        <v>196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0">
        <v>0</v>
      </c>
      <c r="Y181" s="230">
        <f t="shared" si="46"/>
        <v>0</v>
      </c>
      <c r="Z181" s="231"/>
      <c r="AA181" s="13" t="s">
        <v>196</v>
      </c>
      <c r="AB181" s="172"/>
      <c r="AC181" s="173"/>
      <c r="AD181" s="16">
        <f t="shared" si="49"/>
        <v>0</v>
      </c>
      <c r="AE181" s="98"/>
      <c r="AF181" s="99"/>
      <c r="AG181" s="99"/>
      <c r="AH181" s="99"/>
      <c r="AI181" s="99"/>
      <c r="AJ181" s="99"/>
      <c r="AK181" s="8"/>
      <c r="AL181" s="8"/>
    </row>
    <row r="182" spans="2:40" s="12" customFormat="1" ht="135" customHeight="1" x14ac:dyDescent="2.35">
      <c r="B182" s="13" t="s">
        <v>197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0">
        <v>0</v>
      </c>
      <c r="Y182" s="230">
        <f t="shared" si="46"/>
        <v>0</v>
      </c>
      <c r="Z182" s="231"/>
      <c r="AA182" s="13" t="s">
        <v>197</v>
      </c>
      <c r="AB182" s="172"/>
      <c r="AC182" s="173"/>
      <c r="AD182" s="16">
        <f t="shared" si="49"/>
        <v>0</v>
      </c>
      <c r="AE182" s="98"/>
      <c r="AF182" s="99"/>
      <c r="AG182" s="99"/>
      <c r="AH182" s="99"/>
      <c r="AI182" s="99"/>
      <c r="AJ182" s="99"/>
      <c r="AK182" s="8"/>
      <c r="AL182" s="8"/>
    </row>
    <row r="183" spans="2:40" s="12" customFormat="1" ht="123.75" customHeight="1" x14ac:dyDescent="2.35">
      <c r="B183" s="13" t="s">
        <v>198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0">
        <v>0</v>
      </c>
      <c r="Y183" s="230">
        <f t="shared" si="46"/>
        <v>0</v>
      </c>
      <c r="Z183" s="231"/>
      <c r="AA183" s="13" t="s">
        <v>198</v>
      </c>
      <c r="AB183" s="172"/>
      <c r="AC183" s="173"/>
      <c r="AD183" s="16">
        <f t="shared" si="49"/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40" s="12" customFormat="1" ht="123.75" customHeight="1" x14ac:dyDescent="2.35">
      <c r="B184" s="13" t="s">
        <v>210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0">
        <v>0</v>
      </c>
      <c r="Y184" s="230">
        <f t="shared" si="46"/>
        <v>0</v>
      </c>
      <c r="Z184" s="231"/>
      <c r="AA184" s="13" t="s">
        <v>210</v>
      </c>
      <c r="AB184" s="125" t="s">
        <v>211</v>
      </c>
      <c r="AC184" s="126"/>
      <c r="AD184" s="16">
        <f t="shared" si="49"/>
        <v>0</v>
      </c>
      <c r="AE184" s="98"/>
      <c r="AF184" s="99"/>
      <c r="AG184" s="99"/>
      <c r="AH184" s="99"/>
      <c r="AI184" s="99"/>
      <c r="AJ184" s="99"/>
      <c r="AK184" s="8"/>
      <c r="AL184" s="8"/>
    </row>
    <row r="185" spans="2:40" s="12" customFormat="1" ht="123.75" customHeight="1" x14ac:dyDescent="2.35">
      <c r="B185" s="13" t="s">
        <v>199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0">
        <v>0</v>
      </c>
      <c r="Y185" s="230">
        <f t="shared" si="46"/>
        <v>0</v>
      </c>
      <c r="Z185" s="231"/>
      <c r="AA185" s="13" t="s">
        <v>199</v>
      </c>
      <c r="AB185" s="172"/>
      <c r="AC185" s="173"/>
      <c r="AD185" s="16">
        <f t="shared" si="49"/>
        <v>0</v>
      </c>
      <c r="AE185" s="98"/>
      <c r="AF185" s="99"/>
      <c r="AG185" s="99"/>
      <c r="AH185" s="99"/>
      <c r="AI185" s="99"/>
      <c r="AJ185" s="99"/>
      <c r="AK185" s="8"/>
      <c r="AL185" s="8"/>
    </row>
    <row r="186" spans="2:40" s="12" customFormat="1" ht="123.75" customHeight="1" x14ac:dyDescent="2.35">
      <c r="B186" s="13" t="s">
        <v>200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0">
        <v>0</v>
      </c>
      <c r="Y186" s="230">
        <f t="shared" si="46"/>
        <v>0</v>
      </c>
      <c r="Z186" s="231"/>
      <c r="AA186" s="13" t="s">
        <v>200</v>
      </c>
      <c r="AB186" s="172"/>
      <c r="AC186" s="173"/>
      <c r="AD186" s="16">
        <f t="shared" si="49"/>
        <v>0</v>
      </c>
      <c r="AE186" s="98"/>
      <c r="AF186" s="99"/>
      <c r="AG186" s="99"/>
      <c r="AH186" s="99"/>
      <c r="AI186" s="99"/>
      <c r="AJ186" s="99"/>
      <c r="AK186" s="8"/>
      <c r="AL186" s="8"/>
    </row>
    <row r="187" spans="2:40" s="12" customFormat="1" ht="123.75" customHeight="1" x14ac:dyDescent="2.35">
      <c r="B187" s="13" t="s">
        <v>201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0">
        <v>0</v>
      </c>
      <c r="Y187" s="230">
        <f t="shared" si="46"/>
        <v>0</v>
      </c>
      <c r="Z187" s="231"/>
      <c r="AA187" s="13" t="s">
        <v>201</v>
      </c>
      <c r="AB187" s="172"/>
      <c r="AC187" s="173"/>
      <c r="AD187" s="16">
        <f t="shared" si="49"/>
        <v>0</v>
      </c>
      <c r="AE187" s="98"/>
      <c r="AF187" s="99"/>
      <c r="AG187" s="99"/>
      <c r="AH187" s="99"/>
      <c r="AI187" s="99"/>
      <c r="AJ187" s="99"/>
      <c r="AK187" s="8"/>
      <c r="AL187" s="8"/>
    </row>
    <row r="188" spans="2:40" s="12" customFormat="1" ht="123.75" customHeight="1" x14ac:dyDescent="2.35">
      <c r="B188" s="13" t="s">
        <v>202</v>
      </c>
      <c r="C188" s="19">
        <v>0</v>
      </c>
      <c r="D188" s="20"/>
      <c r="E188" s="19">
        <v>0</v>
      </c>
      <c r="F188" s="20"/>
      <c r="G188" s="19">
        <v>0</v>
      </c>
      <c r="H188" s="20"/>
      <c r="I188" s="19">
        <v>0</v>
      </c>
      <c r="J188" s="20"/>
      <c r="K188" s="19">
        <v>0</v>
      </c>
      <c r="L188" s="20"/>
      <c r="M188" s="19">
        <v>0</v>
      </c>
      <c r="N188" s="20"/>
      <c r="O188" s="19">
        <v>0</v>
      </c>
      <c r="P188" s="20"/>
      <c r="Q188" s="19">
        <v>0</v>
      </c>
      <c r="R188" s="20"/>
      <c r="S188" s="19">
        <v>0</v>
      </c>
      <c r="T188" s="20"/>
      <c r="U188" s="19">
        <v>0</v>
      </c>
      <c r="V188" s="20"/>
      <c r="W188" s="14">
        <v>0</v>
      </c>
      <c r="X188" s="120">
        <v>0</v>
      </c>
      <c r="Y188" s="230">
        <f t="shared" si="46"/>
        <v>0</v>
      </c>
      <c r="Z188" s="231"/>
      <c r="AA188" s="13" t="s">
        <v>202</v>
      </c>
      <c r="AB188" s="172"/>
      <c r="AC188" s="173"/>
      <c r="AD188" s="16">
        <f t="shared" si="49"/>
        <v>0</v>
      </c>
      <c r="AE188" s="100"/>
      <c r="AF188" s="99"/>
      <c r="AG188" s="99"/>
      <c r="AH188" s="99"/>
      <c r="AI188" s="99"/>
      <c r="AJ188" s="99"/>
      <c r="AK188" s="8"/>
      <c r="AL188" s="8"/>
    </row>
    <row r="189" spans="2:40" s="12" customFormat="1" ht="123.75" customHeight="1" x14ac:dyDescent="2.35">
      <c r="B189" s="13" t="s">
        <v>203</v>
      </c>
      <c r="C189" s="19">
        <v>0</v>
      </c>
      <c r="D189" s="20"/>
      <c r="E189" s="19">
        <v>0</v>
      </c>
      <c r="F189" s="20"/>
      <c r="G189" s="19">
        <v>0</v>
      </c>
      <c r="H189" s="20"/>
      <c r="I189" s="19">
        <v>0</v>
      </c>
      <c r="J189" s="20"/>
      <c r="K189" s="19">
        <v>0</v>
      </c>
      <c r="L189" s="20"/>
      <c r="M189" s="19">
        <v>0</v>
      </c>
      <c r="N189" s="20"/>
      <c r="O189" s="19">
        <v>0</v>
      </c>
      <c r="P189" s="20"/>
      <c r="Q189" s="19">
        <v>0</v>
      </c>
      <c r="R189" s="20"/>
      <c r="S189" s="19">
        <v>0</v>
      </c>
      <c r="T189" s="20"/>
      <c r="U189" s="19">
        <v>0</v>
      </c>
      <c r="V189" s="20"/>
      <c r="W189" s="14">
        <v>0</v>
      </c>
      <c r="X189" s="120">
        <v>0</v>
      </c>
      <c r="Y189" s="230">
        <f t="shared" si="46"/>
        <v>0</v>
      </c>
      <c r="Z189" s="231"/>
      <c r="AA189" s="13" t="s">
        <v>203</v>
      </c>
      <c r="AB189" s="172"/>
      <c r="AC189" s="173"/>
      <c r="AD189" s="16">
        <f t="shared" si="49"/>
        <v>0</v>
      </c>
      <c r="AE189" s="100"/>
      <c r="AF189" s="99"/>
      <c r="AG189" s="99"/>
      <c r="AH189" s="99"/>
      <c r="AI189" s="99"/>
      <c r="AJ189" s="99"/>
      <c r="AK189" s="8"/>
      <c r="AL189" s="8"/>
    </row>
    <row r="190" spans="2:40" ht="123.75" customHeight="1" x14ac:dyDescent="2.35">
      <c r="B190" s="79" t="s">
        <v>106</v>
      </c>
      <c r="C190" s="128" t="s">
        <v>2</v>
      </c>
      <c r="D190" s="129"/>
      <c r="E190" s="128" t="s">
        <v>3</v>
      </c>
      <c r="F190" s="129"/>
      <c r="G190" s="128" t="s">
        <v>4</v>
      </c>
      <c r="H190" s="129"/>
      <c r="I190" s="128" t="s">
        <v>5</v>
      </c>
      <c r="J190" s="129"/>
      <c r="K190" s="128" t="s">
        <v>6</v>
      </c>
      <c r="L190" s="129"/>
      <c r="M190" s="128" t="s">
        <v>7</v>
      </c>
      <c r="N190" s="129"/>
      <c r="O190" s="128" t="s">
        <v>8</v>
      </c>
      <c r="P190" s="129"/>
      <c r="Q190" s="128" t="s">
        <v>9</v>
      </c>
      <c r="R190" s="129"/>
      <c r="S190" s="128" t="s">
        <v>10</v>
      </c>
      <c r="T190" s="129"/>
      <c r="U190" s="128" t="s">
        <v>11</v>
      </c>
      <c r="V190" s="129"/>
      <c r="W190" s="9" t="s">
        <v>12</v>
      </c>
      <c r="X190" s="117"/>
      <c r="Y190" s="232" t="s">
        <v>13</v>
      </c>
      <c r="Z190" s="233"/>
      <c r="AA190" s="79" t="s">
        <v>106</v>
      </c>
      <c r="AB190" s="134"/>
      <c r="AC190" s="135"/>
      <c r="AD190" s="6" t="s">
        <v>16</v>
      </c>
      <c r="AE190" s="7"/>
      <c r="AK190" s="8"/>
      <c r="AL190" s="8"/>
    </row>
    <row r="191" spans="2:40" ht="123.75" customHeight="1" x14ac:dyDescent="2.35">
      <c r="B191" s="15" t="s">
        <v>204</v>
      </c>
      <c r="C191" s="230">
        <v>0</v>
      </c>
      <c r="D191" s="231"/>
      <c r="E191" s="230">
        <v>0</v>
      </c>
      <c r="F191" s="231"/>
      <c r="G191" s="230">
        <v>0</v>
      </c>
      <c r="H191" s="231"/>
      <c r="I191" s="230">
        <v>0</v>
      </c>
      <c r="J191" s="231"/>
      <c r="K191" s="230">
        <v>0</v>
      </c>
      <c r="L191" s="231"/>
      <c r="M191" s="230">
        <v>0</v>
      </c>
      <c r="N191" s="231"/>
      <c r="O191" s="230">
        <v>0</v>
      </c>
      <c r="P191" s="231"/>
      <c r="Q191" s="230">
        <v>0</v>
      </c>
      <c r="R191" s="231"/>
      <c r="S191" s="230">
        <v>0</v>
      </c>
      <c r="T191" s="231"/>
      <c r="U191" s="230">
        <v>0</v>
      </c>
      <c r="V191" s="231"/>
      <c r="W191" s="14">
        <v>0</v>
      </c>
      <c r="X191" s="120"/>
      <c r="Y191" s="230">
        <f>SUM(C191:W191)</f>
        <v>0</v>
      </c>
      <c r="Z191" s="231"/>
      <c r="AA191" s="15" t="s">
        <v>204</v>
      </c>
      <c r="AB191" s="214"/>
      <c r="AC191" s="215"/>
      <c r="AD191" s="16">
        <f>X191</f>
        <v>0</v>
      </c>
      <c r="AE191" s="7"/>
      <c r="AK191" s="8"/>
      <c r="AL191" s="8"/>
    </row>
    <row r="192" spans="2:40" s="2" customFormat="1" ht="123.75" customHeight="1" x14ac:dyDescent="2.35">
      <c r="B192" s="79" t="s">
        <v>205</v>
      </c>
      <c r="C192" s="128" t="s">
        <v>2</v>
      </c>
      <c r="D192" s="129"/>
      <c r="E192" s="128" t="s">
        <v>3</v>
      </c>
      <c r="F192" s="129"/>
      <c r="G192" s="128" t="s">
        <v>4</v>
      </c>
      <c r="H192" s="129"/>
      <c r="I192" s="128" t="s">
        <v>5</v>
      </c>
      <c r="J192" s="129"/>
      <c r="K192" s="128" t="s">
        <v>6</v>
      </c>
      <c r="L192" s="129"/>
      <c r="M192" s="128" t="s">
        <v>7</v>
      </c>
      <c r="N192" s="129"/>
      <c r="O192" s="128" t="s">
        <v>8</v>
      </c>
      <c r="P192" s="129"/>
      <c r="Q192" s="128" t="s">
        <v>9</v>
      </c>
      <c r="R192" s="129"/>
      <c r="S192" s="128" t="s">
        <v>10</v>
      </c>
      <c r="T192" s="129"/>
      <c r="U192" s="128" t="s">
        <v>11</v>
      </c>
      <c r="V192" s="129"/>
      <c r="W192" s="9" t="s">
        <v>12</v>
      </c>
      <c r="X192" s="117"/>
      <c r="Y192" s="232" t="s">
        <v>13</v>
      </c>
      <c r="Z192" s="233"/>
      <c r="AA192" s="79" t="s">
        <v>205</v>
      </c>
      <c r="AB192" s="134"/>
      <c r="AC192" s="135"/>
      <c r="AD192" s="6" t="s">
        <v>16</v>
      </c>
      <c r="AE192" s="7"/>
      <c r="AF192" s="99"/>
      <c r="AG192" s="99"/>
      <c r="AH192" s="99"/>
      <c r="AI192" s="99"/>
      <c r="AJ192" s="99"/>
      <c r="AK192" s="8"/>
      <c r="AL192" s="8"/>
      <c r="AM192" s="12"/>
      <c r="AN192" s="12"/>
    </row>
    <row r="193" spans="2:40" ht="123.75" customHeight="1" x14ac:dyDescent="2.35">
      <c r="B193" s="13" t="s">
        <v>206</v>
      </c>
      <c r="C193" s="19">
        <v>0</v>
      </c>
      <c r="D193" s="20"/>
      <c r="E193" s="19">
        <v>0</v>
      </c>
      <c r="F193" s="20"/>
      <c r="G193" s="19">
        <v>0</v>
      </c>
      <c r="H193" s="20"/>
      <c r="I193" s="19">
        <v>0</v>
      </c>
      <c r="J193" s="20"/>
      <c r="K193" s="19">
        <v>0</v>
      </c>
      <c r="L193" s="20"/>
      <c r="M193" s="19">
        <v>0</v>
      </c>
      <c r="N193" s="20"/>
      <c r="O193" s="19">
        <v>0</v>
      </c>
      <c r="P193" s="20"/>
      <c r="Q193" s="19">
        <v>0</v>
      </c>
      <c r="R193" s="20"/>
      <c r="S193" s="19">
        <v>0</v>
      </c>
      <c r="T193" s="20"/>
      <c r="U193" s="19">
        <v>0</v>
      </c>
      <c r="V193" s="20"/>
      <c r="W193" s="14">
        <v>0</v>
      </c>
      <c r="X193" s="122">
        <v>0</v>
      </c>
      <c r="Y193" s="230">
        <f>SUM(C193:W193)</f>
        <v>0</v>
      </c>
      <c r="Z193" s="231"/>
      <c r="AA193" s="68" t="s">
        <v>206</v>
      </c>
      <c r="AB193" s="193"/>
      <c r="AC193" s="194"/>
      <c r="AD193" s="16">
        <f>X193</f>
        <v>0</v>
      </c>
      <c r="AE193" s="17"/>
      <c r="AM193" s="2"/>
      <c r="AN193" s="2"/>
    </row>
    <row r="194" spans="2:40" s="2" customFormat="1" ht="165" customHeight="1" x14ac:dyDescent="2.35">
      <c r="B194" s="235" t="s">
        <v>207</v>
      </c>
      <c r="C194" s="128" t="s">
        <v>2</v>
      </c>
      <c r="D194" s="129"/>
      <c r="E194" s="128" t="s">
        <v>3</v>
      </c>
      <c r="F194" s="129"/>
      <c r="G194" s="128" t="s">
        <v>4</v>
      </c>
      <c r="H194" s="129"/>
      <c r="I194" s="128" t="s">
        <v>5</v>
      </c>
      <c r="J194" s="129"/>
      <c r="K194" s="128" t="s">
        <v>6</v>
      </c>
      <c r="L194" s="129"/>
      <c r="M194" s="128" t="s">
        <v>7</v>
      </c>
      <c r="N194" s="129"/>
      <c r="O194" s="128" t="s">
        <v>8</v>
      </c>
      <c r="P194" s="129"/>
      <c r="Q194" s="128" t="s">
        <v>9</v>
      </c>
      <c r="R194" s="129"/>
      <c r="S194" s="128" t="s">
        <v>10</v>
      </c>
      <c r="T194" s="129"/>
      <c r="U194" s="128" t="s">
        <v>11</v>
      </c>
      <c r="V194" s="129"/>
      <c r="W194" s="9" t="s">
        <v>12</v>
      </c>
      <c r="X194" s="117"/>
      <c r="Y194" s="243" t="s">
        <v>208</v>
      </c>
      <c r="Z194" s="244"/>
      <c r="AA194" s="245"/>
      <c r="AB194" s="101"/>
      <c r="AC194" s="101"/>
      <c r="AD194" s="102"/>
      <c r="AE194" s="17"/>
      <c r="AK194" s="3"/>
      <c r="AL194" s="3"/>
      <c r="AM194"/>
      <c r="AN194"/>
    </row>
    <row r="195" spans="2:40" s="105" customFormat="1" ht="255" x14ac:dyDescent="3.65">
      <c r="B195" s="236"/>
      <c r="C195" s="237"/>
      <c r="D195" s="237"/>
      <c r="E195" s="237"/>
      <c r="F195" s="237"/>
      <c r="G195" s="237"/>
      <c r="H195" s="237"/>
      <c r="I195" s="237"/>
      <c r="J195" s="237"/>
      <c r="K195" s="237"/>
      <c r="L195" s="237"/>
      <c r="M195" s="237"/>
      <c r="N195" s="237"/>
      <c r="O195" s="237"/>
      <c r="P195" s="237"/>
      <c r="Q195" s="237"/>
      <c r="R195" s="237"/>
      <c r="S195" s="237"/>
      <c r="T195" s="237"/>
      <c r="U195" s="237"/>
      <c r="V195" s="237"/>
      <c r="W195" s="127"/>
      <c r="X195" s="123"/>
      <c r="Y195" s="238">
        <f>SUM(C195:W195)</f>
        <v>0</v>
      </c>
      <c r="Z195" s="239"/>
      <c r="AA195" s="240"/>
      <c r="AB195" s="103"/>
      <c r="AC195" s="103"/>
      <c r="AD195" s="104"/>
      <c r="AE195" s="102"/>
      <c r="AF195" s="2"/>
      <c r="AG195" s="2"/>
      <c r="AH195" s="2"/>
      <c r="AI195" s="2"/>
      <c r="AJ195" s="2"/>
      <c r="AK195" s="3"/>
      <c r="AL195" s="3"/>
      <c r="AM195" s="2"/>
      <c r="AN195" s="2"/>
    </row>
    <row r="197" spans="2:40" x14ac:dyDescent="2.35">
      <c r="C197" s="241"/>
      <c r="D197" s="241"/>
      <c r="O197" s="242"/>
      <c r="P197" s="242"/>
      <c r="R197" s="107"/>
      <c r="AA197" s="108"/>
    </row>
    <row r="198" spans="2:40" x14ac:dyDescent="2.35">
      <c r="AA198" s="108"/>
    </row>
  </sheetData>
  <mergeCells count="342">
    <mergeCell ref="Y195:AA195"/>
    <mergeCell ref="C197:D197"/>
    <mergeCell ref="O197:P197"/>
    <mergeCell ref="Y194:AA194"/>
    <mergeCell ref="C195:D195"/>
    <mergeCell ref="E195:F195"/>
    <mergeCell ref="G195:H195"/>
    <mergeCell ref="I195:J195"/>
    <mergeCell ref="K195:L195"/>
    <mergeCell ref="M195:N195"/>
    <mergeCell ref="O195:P195"/>
    <mergeCell ref="Q195:R195"/>
    <mergeCell ref="M194:N194"/>
    <mergeCell ref="O194:P194"/>
    <mergeCell ref="Q194:R194"/>
    <mergeCell ref="S194:T194"/>
    <mergeCell ref="U194:V194"/>
    <mergeCell ref="B194:B195"/>
    <mergeCell ref="C194:D194"/>
    <mergeCell ref="E194:F194"/>
    <mergeCell ref="G194:H194"/>
    <mergeCell ref="I194:J194"/>
    <mergeCell ref="K194:L194"/>
    <mergeCell ref="Q192:R192"/>
    <mergeCell ref="S192:T192"/>
    <mergeCell ref="U192:V192"/>
    <mergeCell ref="S195:T195"/>
    <mergeCell ref="U195:V195"/>
    <mergeCell ref="AB192:AC192"/>
    <mergeCell ref="Y193:Z193"/>
    <mergeCell ref="AB193:AC193"/>
    <mergeCell ref="Y191:Z191"/>
    <mergeCell ref="AB191:AC191"/>
    <mergeCell ref="C192:D192"/>
    <mergeCell ref="E192:F192"/>
    <mergeCell ref="G192:H192"/>
    <mergeCell ref="I192:J192"/>
    <mergeCell ref="K192:L192"/>
    <mergeCell ref="M192:N192"/>
    <mergeCell ref="O192:P192"/>
    <mergeCell ref="M191:N191"/>
    <mergeCell ref="O191:P191"/>
    <mergeCell ref="Q191:R191"/>
    <mergeCell ref="S191:T191"/>
    <mergeCell ref="U191:V191"/>
    <mergeCell ref="Y192:Z192"/>
    <mergeCell ref="C191:D191"/>
    <mergeCell ref="E191:F191"/>
    <mergeCell ref="G191:H191"/>
    <mergeCell ref="I191:J191"/>
    <mergeCell ref="K191:L191"/>
    <mergeCell ref="Y189:Z189"/>
    <mergeCell ref="AB189:AC189"/>
    <mergeCell ref="C190:D190"/>
    <mergeCell ref="E190:F190"/>
    <mergeCell ref="G190:H190"/>
    <mergeCell ref="I190:J190"/>
    <mergeCell ref="K190:L190"/>
    <mergeCell ref="M190:N190"/>
    <mergeCell ref="O190:P190"/>
    <mergeCell ref="S190:T190"/>
    <mergeCell ref="U190:V190"/>
    <mergeCell ref="Y190:Z190"/>
    <mergeCell ref="AB190:AC190"/>
    <mergeCell ref="Q190:R190"/>
    <mergeCell ref="Y186:Z186"/>
    <mergeCell ref="AB186:AC186"/>
    <mergeCell ref="Y187:Z187"/>
    <mergeCell ref="AB187:AC187"/>
    <mergeCell ref="Y188:Z188"/>
    <mergeCell ref="AB188:AC188"/>
    <mergeCell ref="Y182:Z182"/>
    <mergeCell ref="AB182:AC182"/>
    <mergeCell ref="Y183:Z183"/>
    <mergeCell ref="AB183:AC183"/>
    <mergeCell ref="Y185:Z185"/>
    <mergeCell ref="AB185:AC185"/>
    <mergeCell ref="Y184:Z184"/>
    <mergeCell ref="Y179:Z179"/>
    <mergeCell ref="AB179:AC179"/>
    <mergeCell ref="Y180:Z180"/>
    <mergeCell ref="AB180:AC180"/>
    <mergeCell ref="AG180:AI180"/>
    <mergeCell ref="Y181:Z181"/>
    <mergeCell ref="AB181:AC181"/>
    <mergeCell ref="Y176:Z176"/>
    <mergeCell ref="AB176:AC176"/>
    <mergeCell ref="Y177:Z177"/>
    <mergeCell ref="AB177:AC177"/>
    <mergeCell ref="Y178:Z178"/>
    <mergeCell ref="AB178:AC178"/>
    <mergeCell ref="Y171:Z171"/>
    <mergeCell ref="Y172:Z172"/>
    <mergeCell ref="Y173:Z173"/>
    <mergeCell ref="Y174:Z174"/>
    <mergeCell ref="AB174:AC174"/>
    <mergeCell ref="Y175:Z175"/>
    <mergeCell ref="AB175:AC175"/>
    <mergeCell ref="Y165:Z165"/>
    <mergeCell ref="AB165:AC165"/>
    <mergeCell ref="Y166:Z166"/>
    <mergeCell ref="AB166:AC173"/>
    <mergeCell ref="AF166:AJ169"/>
    <mergeCell ref="Y167:Z167"/>
    <mergeCell ref="Y168:Z168"/>
    <mergeCell ref="Y169:Z169"/>
    <mergeCell ref="Y170:Z170"/>
    <mergeCell ref="AF170:AJ170"/>
    <mergeCell ref="M165:N165"/>
    <mergeCell ref="O165:P165"/>
    <mergeCell ref="Q165:R165"/>
    <mergeCell ref="S165:T165"/>
    <mergeCell ref="U165:V165"/>
    <mergeCell ref="AB159:AC164"/>
    <mergeCell ref="C165:D165"/>
    <mergeCell ref="E165:F165"/>
    <mergeCell ref="G165:H165"/>
    <mergeCell ref="I165:J165"/>
    <mergeCell ref="K165:L165"/>
    <mergeCell ref="M157:N157"/>
    <mergeCell ref="O157:P157"/>
    <mergeCell ref="Q157:R157"/>
    <mergeCell ref="S157:T157"/>
    <mergeCell ref="U157:V157"/>
    <mergeCell ref="W157:W158"/>
    <mergeCell ref="C143:D143"/>
    <mergeCell ref="E143:F143"/>
    <mergeCell ref="G143:H143"/>
    <mergeCell ref="I143:J143"/>
    <mergeCell ref="K143:L143"/>
    <mergeCell ref="AB144:AC154"/>
    <mergeCell ref="AB155:AC155"/>
    <mergeCell ref="B156:AD156"/>
    <mergeCell ref="B157:B158"/>
    <mergeCell ref="C157:D157"/>
    <mergeCell ref="E157:F157"/>
    <mergeCell ref="G157:H157"/>
    <mergeCell ref="I157:J157"/>
    <mergeCell ref="K157:L157"/>
    <mergeCell ref="Y157:Y158"/>
    <mergeCell ref="Z157:Z158"/>
    <mergeCell ref="AA157:AA158"/>
    <mergeCell ref="AB157:AC157"/>
    <mergeCell ref="AB141:AC142"/>
    <mergeCell ref="AF138:AJ138"/>
    <mergeCell ref="AB139:AC139"/>
    <mergeCell ref="AF139:AJ139"/>
    <mergeCell ref="M143:N143"/>
    <mergeCell ref="O143:P143"/>
    <mergeCell ref="Q143:R143"/>
    <mergeCell ref="S143:T143"/>
    <mergeCell ref="U143:V143"/>
    <mergeCell ref="AB143:AC143"/>
    <mergeCell ref="C140:D140"/>
    <mergeCell ref="E140:F140"/>
    <mergeCell ref="G140:H140"/>
    <mergeCell ref="I140:J140"/>
    <mergeCell ref="K140:L140"/>
    <mergeCell ref="M140:N140"/>
    <mergeCell ref="AB107:AC111"/>
    <mergeCell ref="AF111:AJ111"/>
    <mergeCell ref="AB112:AC125"/>
    <mergeCell ref="AF112:AJ117"/>
    <mergeCell ref="O140:P140"/>
    <mergeCell ref="Q140:R140"/>
    <mergeCell ref="S140:T140"/>
    <mergeCell ref="U140:V140"/>
    <mergeCell ref="AB140:AC140"/>
    <mergeCell ref="AK113:AL139"/>
    <mergeCell ref="AF118:AJ118"/>
    <mergeCell ref="AF119:AJ119"/>
    <mergeCell ref="AB126:AC138"/>
    <mergeCell ref="AF126:AJ128"/>
    <mergeCell ref="AF130:AJ130"/>
    <mergeCell ref="U105:V105"/>
    <mergeCell ref="W105:W106"/>
    <mergeCell ref="Y105:Y106"/>
    <mergeCell ref="Z105:Z106"/>
    <mergeCell ref="AA105:AA106"/>
    <mergeCell ref="AB105:AC105"/>
    <mergeCell ref="K105:L105"/>
    <mergeCell ref="M105:N105"/>
    <mergeCell ref="O105:P105"/>
    <mergeCell ref="Q105:R105"/>
    <mergeCell ref="S105:T105"/>
    <mergeCell ref="AF98:AJ98"/>
    <mergeCell ref="AF100:AJ100"/>
    <mergeCell ref="AB103:AC103"/>
    <mergeCell ref="AF103:AJ107"/>
    <mergeCell ref="B104:AD104"/>
    <mergeCell ref="B105:B106"/>
    <mergeCell ref="C105:D105"/>
    <mergeCell ref="E105:F105"/>
    <mergeCell ref="G105:H105"/>
    <mergeCell ref="I105:J105"/>
    <mergeCell ref="U87:V87"/>
    <mergeCell ref="AB87:AC87"/>
    <mergeCell ref="AK87:AL112"/>
    <mergeCell ref="AB88:AC88"/>
    <mergeCell ref="AB90:AC90"/>
    <mergeCell ref="AB91:AC91"/>
    <mergeCell ref="AB92:AC92"/>
    <mergeCell ref="AB93:AC102"/>
    <mergeCell ref="AF93:AJ97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F78:AJ78"/>
    <mergeCell ref="AF79:AJ79"/>
    <mergeCell ref="AB80:AC81"/>
    <mergeCell ref="AF80:AJ80"/>
    <mergeCell ref="AK80:AL86"/>
    <mergeCell ref="AF81:AJ81"/>
    <mergeCell ref="AB82:AC82"/>
    <mergeCell ref="AB83:AC83"/>
    <mergeCell ref="AB84:AC84"/>
    <mergeCell ref="AB85:AC85"/>
    <mergeCell ref="AK71:AL78"/>
    <mergeCell ref="AF72:AJ72"/>
    <mergeCell ref="AB73:AC73"/>
    <mergeCell ref="AB74:AC75"/>
    <mergeCell ref="AF74:AJ74"/>
    <mergeCell ref="AF75:AJ75"/>
    <mergeCell ref="AB76:AC77"/>
    <mergeCell ref="AF76:AJ76"/>
    <mergeCell ref="AF77:AJ77"/>
    <mergeCell ref="AB78:AC79"/>
    <mergeCell ref="AB86:AC86"/>
    <mergeCell ref="Q70:R70"/>
    <mergeCell ref="S70:T70"/>
    <mergeCell ref="U70:V70"/>
    <mergeCell ref="AB70:AC70"/>
    <mergeCell ref="AB71:AC72"/>
    <mergeCell ref="AF71:AJ71"/>
    <mergeCell ref="AB68:AC68"/>
    <mergeCell ref="AB69:AC69"/>
    <mergeCell ref="C70:D70"/>
    <mergeCell ref="E70:F70"/>
    <mergeCell ref="G70:H70"/>
    <mergeCell ref="I70:J70"/>
    <mergeCell ref="K70:L70"/>
    <mergeCell ref="M70:N70"/>
    <mergeCell ref="O70:P70"/>
    <mergeCell ref="AB62:AC67"/>
    <mergeCell ref="AF63:AJ63"/>
    <mergeCell ref="AF64:AJ64"/>
    <mergeCell ref="M60:N60"/>
    <mergeCell ref="O60:P60"/>
    <mergeCell ref="Q60:R60"/>
    <mergeCell ref="S60:T60"/>
    <mergeCell ref="U60:V60"/>
    <mergeCell ref="W60:W61"/>
    <mergeCell ref="AB55:AC55"/>
    <mergeCell ref="AC57:AC58"/>
    <mergeCell ref="AB59:AC59"/>
    <mergeCell ref="B60:B61"/>
    <mergeCell ref="C60:D60"/>
    <mergeCell ref="E60:F60"/>
    <mergeCell ref="G60:H60"/>
    <mergeCell ref="I60:J60"/>
    <mergeCell ref="K60:L60"/>
    <mergeCell ref="Y60:Y61"/>
    <mergeCell ref="Z60:Z61"/>
    <mergeCell ref="AA60:AA61"/>
    <mergeCell ref="AB60:AC60"/>
    <mergeCell ref="AB48:AC51"/>
    <mergeCell ref="AB54:AC54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59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59" min="1" max="41" man="1"/>
    <brk id="103" min="1" max="40" man="1"/>
    <brk id="155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2026-09-28T20:58:32Z</dcterms:modified>
</cp:coreProperties>
</file>