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cuments\ELIECER\scripts\base\"/>
    </mc:Choice>
  </mc:AlternateContent>
  <xr:revisionPtr revIDLastSave="0" documentId="13_ncr:1_{DBC75576-1B93-4F4E-A94F-AD83089DDF5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se_0" sheetId="2" r:id="rId1"/>
    <sheet name="Hoja1" sheetId="3" r:id="rId2"/>
  </sheets>
  <definedNames>
    <definedName name="_xlnm.Print_Area" localSheetId="0">base_0!$B$1:$AN$193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162" i="2" l="1"/>
  <c r="Y162" i="2"/>
  <c r="Z161" i="2"/>
  <c r="Y161" i="2"/>
  <c r="Z160" i="2"/>
  <c r="Y160" i="2"/>
  <c r="Z159" i="2"/>
  <c r="Y159" i="2"/>
  <c r="Z158" i="2"/>
  <c r="Y158" i="2"/>
  <c r="Z157" i="2"/>
  <c r="Y157" i="2"/>
  <c r="Z152" i="2"/>
  <c r="Y152" i="2"/>
  <c r="Z151" i="2"/>
  <c r="Y151" i="2"/>
  <c r="Z150" i="2"/>
  <c r="Y150" i="2"/>
  <c r="Z149" i="2"/>
  <c r="Y149" i="2"/>
  <c r="Z148" i="2"/>
  <c r="Y148" i="2"/>
  <c r="Z147" i="2"/>
  <c r="Y147" i="2"/>
  <c r="Z146" i="2"/>
  <c r="Y146" i="2"/>
  <c r="Z145" i="2"/>
  <c r="Y145" i="2"/>
  <c r="Z144" i="2"/>
  <c r="Y144" i="2"/>
  <c r="Z143" i="2"/>
  <c r="Y143" i="2"/>
  <c r="Z142" i="2"/>
  <c r="Y142" i="2"/>
  <c r="Z140" i="2"/>
  <c r="Y140" i="2"/>
  <c r="Z139" i="2"/>
  <c r="Y139" i="2"/>
  <c r="Z137" i="2"/>
  <c r="Y137" i="2"/>
  <c r="Z135" i="2"/>
  <c r="Y135" i="2"/>
  <c r="Z134" i="2"/>
  <c r="Y134" i="2"/>
  <c r="Z133" i="2"/>
  <c r="Y133" i="2"/>
  <c r="Z132" i="2"/>
  <c r="Y132" i="2"/>
  <c r="Z131" i="2"/>
  <c r="Y131" i="2"/>
  <c r="Z130" i="2"/>
  <c r="Y130" i="2"/>
  <c r="Z129" i="2"/>
  <c r="Y129" i="2"/>
  <c r="Z128" i="2"/>
  <c r="Y128" i="2"/>
  <c r="Z127" i="2"/>
  <c r="Y127" i="2"/>
  <c r="Z126" i="2"/>
  <c r="Y126" i="2"/>
  <c r="Z124" i="2"/>
  <c r="Y124" i="2"/>
  <c r="Z123" i="2"/>
  <c r="Y123" i="2"/>
  <c r="Z122" i="2"/>
  <c r="Y122" i="2"/>
  <c r="Z121" i="2"/>
  <c r="Y121" i="2"/>
  <c r="Z120" i="2"/>
  <c r="Y120" i="2"/>
  <c r="Z119" i="2"/>
  <c r="Y119" i="2"/>
  <c r="Z118" i="2"/>
  <c r="Y118" i="2"/>
  <c r="Z117" i="2"/>
  <c r="Y117" i="2"/>
  <c r="Z116" i="2"/>
  <c r="Y116" i="2"/>
  <c r="Z115" i="2"/>
  <c r="Y115" i="2"/>
  <c r="Z114" i="2"/>
  <c r="Y114" i="2"/>
  <c r="Z113" i="2"/>
  <c r="Y113" i="2"/>
  <c r="Z112" i="2"/>
  <c r="Y112" i="2"/>
  <c r="Z110" i="2"/>
  <c r="Y110" i="2"/>
  <c r="Z109" i="2"/>
  <c r="Y109" i="2"/>
  <c r="Z108" i="2"/>
  <c r="Y108" i="2"/>
  <c r="Z107" i="2"/>
  <c r="Y107" i="2"/>
  <c r="Z102" i="2"/>
  <c r="Y102" i="2"/>
  <c r="Z101" i="2"/>
  <c r="Y101" i="2"/>
  <c r="Z100" i="2"/>
  <c r="Y100" i="2"/>
  <c r="Z99" i="2"/>
  <c r="Y99" i="2"/>
  <c r="Z98" i="2"/>
  <c r="Y98" i="2"/>
  <c r="Z97" i="2"/>
  <c r="Y97" i="2"/>
  <c r="Z96" i="2"/>
  <c r="Y96" i="2"/>
  <c r="Z95" i="2"/>
  <c r="Y95" i="2"/>
  <c r="Z94" i="2"/>
  <c r="Y94" i="2"/>
  <c r="Z93" i="2"/>
  <c r="Y93" i="2"/>
  <c r="Z92" i="2"/>
  <c r="Y92" i="2"/>
  <c r="Z91" i="2"/>
  <c r="Y91" i="2"/>
  <c r="Z90" i="2"/>
  <c r="Y90" i="2"/>
  <c r="Z88" i="2"/>
  <c r="Y88" i="2"/>
  <c r="Z86" i="2"/>
  <c r="Y86" i="2"/>
  <c r="Z85" i="2"/>
  <c r="Y85" i="2"/>
  <c r="Z84" i="2"/>
  <c r="Y84" i="2"/>
  <c r="Z83" i="2"/>
  <c r="Y83" i="2"/>
  <c r="Z82" i="2"/>
  <c r="Y82" i="2"/>
  <c r="Z81" i="2"/>
  <c r="Y81" i="2"/>
  <c r="Z80" i="2"/>
  <c r="Y80" i="2"/>
  <c r="Z79" i="2"/>
  <c r="Y79" i="2"/>
  <c r="Z78" i="2"/>
  <c r="Y78" i="2"/>
  <c r="Z77" i="2"/>
  <c r="Y77" i="2"/>
  <c r="Z76" i="2"/>
  <c r="Y76" i="2"/>
  <c r="Z75" i="2"/>
  <c r="Y75" i="2"/>
  <c r="Z74" i="2"/>
  <c r="Y74" i="2"/>
  <c r="Z72" i="2"/>
  <c r="Y72" i="2"/>
  <c r="Z71" i="2"/>
  <c r="Y71" i="2"/>
  <c r="Z68" i="2"/>
  <c r="Y68" i="2"/>
  <c r="Z67" i="2"/>
  <c r="Y67" i="2"/>
  <c r="Z66" i="2"/>
  <c r="Y66" i="2"/>
  <c r="Z65" i="2"/>
  <c r="Y65" i="2"/>
  <c r="Z64" i="2"/>
  <c r="Y64" i="2"/>
  <c r="Z63" i="2"/>
  <c r="Y63" i="2"/>
  <c r="Z62" i="2"/>
  <c r="Y62" i="2"/>
  <c r="Z58" i="2"/>
  <c r="Y58" i="2"/>
  <c r="Z57" i="2"/>
  <c r="Y57" i="2"/>
  <c r="Z56" i="2"/>
  <c r="Y56" i="2"/>
  <c r="Z55" i="2"/>
  <c r="Y55" i="2"/>
  <c r="Z53" i="2"/>
  <c r="Y53" i="2"/>
  <c r="Z52" i="2"/>
  <c r="Y52" i="2"/>
  <c r="Z51" i="2"/>
  <c r="Y51" i="2"/>
  <c r="Z50" i="2"/>
  <c r="Y50" i="2"/>
  <c r="Z49" i="2"/>
  <c r="Y49" i="2"/>
  <c r="Z48" i="2"/>
  <c r="Y48" i="2"/>
  <c r="Z47" i="2"/>
  <c r="Y47" i="2"/>
  <c r="Z46" i="2"/>
  <c r="Y46" i="2"/>
  <c r="Z45" i="2"/>
  <c r="Y45" i="2"/>
  <c r="Z44" i="2"/>
  <c r="Y44" i="2"/>
  <c r="Z43" i="2"/>
  <c r="Y43" i="2"/>
  <c r="Z42" i="2"/>
  <c r="Y42" i="2"/>
  <c r="Z41" i="2"/>
  <c r="Y41" i="2"/>
  <c r="Z39" i="2"/>
  <c r="Y39" i="2"/>
  <c r="Z37" i="2"/>
  <c r="Y37" i="2"/>
  <c r="Z36" i="2"/>
  <c r="Y36" i="2"/>
  <c r="Z34" i="2"/>
  <c r="Y34" i="2"/>
  <c r="Z33" i="2"/>
  <c r="Y33" i="2"/>
  <c r="Z31" i="2"/>
  <c r="Y31" i="2"/>
  <c r="Z30" i="2"/>
  <c r="Y30" i="2"/>
  <c r="Z28" i="2"/>
  <c r="Y28" i="2"/>
  <c r="Z27" i="2"/>
  <c r="Y27" i="2"/>
  <c r="Z25" i="2"/>
  <c r="Y25" i="2"/>
  <c r="Z24" i="2"/>
  <c r="Y24" i="2"/>
  <c r="Z22" i="2"/>
  <c r="Y22" i="2"/>
  <c r="Z20" i="2"/>
  <c r="Y20" i="2"/>
  <c r="Z19" i="2"/>
  <c r="Y19" i="2"/>
  <c r="Z18" i="2"/>
  <c r="Y18" i="2"/>
  <c r="Z17" i="2"/>
  <c r="Y17" i="2"/>
  <c r="Z16" i="2"/>
  <c r="Y16" i="2"/>
  <c r="Z15" i="2"/>
  <c r="Y15" i="2"/>
  <c r="Z13" i="2"/>
  <c r="Y13" i="2"/>
  <c r="Z12" i="2"/>
  <c r="Y12" i="2"/>
  <c r="Z11" i="2"/>
  <c r="Y11" i="2"/>
  <c r="Z10" i="2"/>
  <c r="Y10" i="2"/>
  <c r="Z4" i="2"/>
  <c r="Y4" i="2"/>
  <c r="Y182" i="2"/>
  <c r="AD182" i="2"/>
  <c r="AD10" i="2" l="1"/>
  <c r="AD8" i="2"/>
  <c r="AD5" i="2"/>
  <c r="W21" i="2"/>
  <c r="AD59" i="2"/>
  <c r="AD191" i="2"/>
  <c r="AD189" i="2"/>
  <c r="AD175" i="2"/>
  <c r="AD174" i="2"/>
  <c r="AD173" i="2"/>
  <c r="AD171" i="2"/>
  <c r="AD176" i="2"/>
  <c r="AD177" i="2"/>
  <c r="AD178" i="2"/>
  <c r="AD179" i="2"/>
  <c r="AD180" i="2"/>
  <c r="AD181" i="2"/>
  <c r="AD183" i="2"/>
  <c r="AD184" i="2"/>
  <c r="AD185" i="2"/>
  <c r="AD186" i="2"/>
  <c r="AD187" i="2"/>
  <c r="AD165" i="2"/>
  <c r="AD166" i="2"/>
  <c r="AD167" i="2"/>
  <c r="AD168" i="2"/>
  <c r="AD169" i="2"/>
  <c r="AD170" i="2"/>
  <c r="AD164" i="2"/>
  <c r="AD158" i="2"/>
  <c r="AD159" i="2"/>
  <c r="AD160" i="2"/>
  <c r="AD161" i="2"/>
  <c r="AD162" i="2"/>
  <c r="AD157" i="2"/>
  <c r="AD143" i="2"/>
  <c r="AD144" i="2"/>
  <c r="AD145" i="2"/>
  <c r="AD146" i="2"/>
  <c r="AD147" i="2"/>
  <c r="AD148" i="2"/>
  <c r="AD149" i="2"/>
  <c r="AD150" i="2"/>
  <c r="AD151" i="2"/>
  <c r="AD152" i="2"/>
  <c r="AD142" i="2"/>
  <c r="AD140" i="2"/>
  <c r="AD139" i="2"/>
  <c r="AD13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07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88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71" i="2"/>
  <c r="AD63" i="2"/>
  <c r="AD64" i="2"/>
  <c r="AD65" i="2"/>
  <c r="AD66" i="2"/>
  <c r="AD67" i="2"/>
  <c r="AD68" i="2"/>
  <c r="AD62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41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22" i="2"/>
  <c r="AD16" i="2"/>
  <c r="AD17" i="2"/>
  <c r="AD18" i="2"/>
  <c r="AD19" i="2"/>
  <c r="AD20" i="2"/>
  <c r="AD15" i="2"/>
  <c r="AD11" i="2"/>
  <c r="AD12" i="2"/>
  <c r="AD13" i="2"/>
  <c r="AD9" i="2"/>
  <c r="AD6" i="2"/>
  <c r="AD7" i="2"/>
  <c r="AD4" i="2"/>
  <c r="AF129" i="2" l="1"/>
  <c r="AF47" i="2"/>
  <c r="Y193" i="2"/>
  <c r="Y191" i="2"/>
  <c r="Y189" i="2"/>
  <c r="Y187" i="2"/>
  <c r="Y186" i="2"/>
  <c r="Y185" i="2"/>
  <c r="Y184" i="2"/>
  <c r="Y183" i="2"/>
  <c r="Y181" i="2"/>
  <c r="Y180" i="2"/>
  <c r="Y179" i="2"/>
  <c r="Y178" i="2"/>
  <c r="Y177" i="2"/>
  <c r="Y176" i="2"/>
  <c r="Y175" i="2"/>
  <c r="Y174" i="2"/>
  <c r="Y173" i="2"/>
  <c r="W172" i="2"/>
  <c r="U172" i="2"/>
  <c r="S172" i="2"/>
  <c r="Q172" i="2"/>
  <c r="O172" i="2"/>
  <c r="M172" i="2"/>
  <c r="K172" i="2"/>
  <c r="I172" i="2"/>
  <c r="G172" i="2"/>
  <c r="E172" i="2"/>
  <c r="C172" i="2"/>
  <c r="Y171" i="2"/>
  <c r="Y170" i="2"/>
  <c r="Y169" i="2"/>
  <c r="AF168" i="2"/>
  <c r="Y168" i="2"/>
  <c r="Y167" i="2"/>
  <c r="Y166" i="2"/>
  <c r="Y165" i="2"/>
  <c r="Y164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AF137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AF118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AF98" i="2"/>
  <c r="AK87" i="2"/>
  <c r="AB86" i="2"/>
  <c r="AF81" i="2"/>
  <c r="AF79" i="2"/>
  <c r="AF77" i="2"/>
  <c r="AF75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F72" i="2"/>
  <c r="AK71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F64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AB58" i="2"/>
  <c r="AB57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AF37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AF34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AF31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AF28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AF25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F22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AF15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Y8" i="2"/>
  <c r="AB8" i="2" s="1"/>
  <c r="AF7" i="2"/>
  <c r="Y7" i="2"/>
  <c r="AB7" i="2" s="1"/>
  <c r="Y6" i="2"/>
  <c r="AB6" i="2" s="1"/>
  <c r="Y5" i="2"/>
  <c r="AB5" i="2" s="1"/>
  <c r="AK4" i="2"/>
  <c r="AB78" i="2" l="1"/>
  <c r="AB139" i="2"/>
  <c r="AB27" i="2"/>
  <c r="AB30" i="2"/>
  <c r="AB33" i="2"/>
  <c r="AB36" i="2"/>
  <c r="AB10" i="2"/>
  <c r="AB15" i="2"/>
  <c r="AB74" i="2"/>
  <c r="AB107" i="2"/>
  <c r="AB62" i="2"/>
  <c r="AB80" i="2"/>
  <c r="AB76" i="2"/>
  <c r="AC57" i="2"/>
  <c r="AB24" i="2"/>
  <c r="AB71" i="2"/>
  <c r="AB157" i="2"/>
  <c r="AB164" i="2"/>
  <c r="AB93" i="2"/>
  <c r="AB112" i="2"/>
  <c r="AB126" i="2"/>
  <c r="AB142" i="2"/>
  <c r="Y172" i="2"/>
  <c r="AC4" i="2"/>
  <c r="AB42" i="2"/>
  <c r="AC10" i="2" l="1"/>
</calcChain>
</file>

<file path=xl/sharedStrings.xml><?xml version="1.0" encoding="utf-8"?>
<sst xmlns="http://schemas.openxmlformats.org/spreadsheetml/2006/main" count="615" uniqueCount="213">
  <si>
    <t xml:space="preserve">       VENTAS DIARIAS POR PRODUCTO DEL 18,19,20 DE SEPTIEMBRE DEL 2026</t>
  </si>
  <si>
    <t>PRODUCTO</t>
  </si>
  <si>
    <t>SALITRE</t>
  </si>
  <si>
    <t>ANDINO</t>
  </si>
  <si>
    <t>TITAN</t>
  </si>
  <si>
    <t>COLINA</t>
  </si>
  <si>
    <t>STA FE</t>
  </si>
  <si>
    <t>CHÍA</t>
  </si>
  <si>
    <t>CRA 9</t>
  </si>
  <si>
    <t>CLL 109</t>
  </si>
  <si>
    <t>CLL 122</t>
  </si>
  <si>
    <t>CEDRITOS</t>
  </si>
  <si>
    <t>FABRICA</t>
  </si>
  <si>
    <t xml:space="preserve">TOTAL </t>
  </si>
  <si>
    <t>TOTAL STOCK</t>
  </si>
  <si>
    <t>T.P</t>
  </si>
  <si>
    <t>VENTA TOTAL</t>
  </si>
  <si>
    <t>VENTA</t>
  </si>
  <si>
    <t>STOCK</t>
  </si>
  <si>
    <t>BITE SIZE X UNIDAD</t>
  </si>
  <si>
    <t xml:space="preserve">BITES
</t>
  </si>
  <si>
    <t>MINI BITES X 4 UND</t>
  </si>
  <si>
    <t>MINI BITES X 8 UND</t>
  </si>
  <si>
    <t>BITES X 8 UND</t>
  </si>
  <si>
    <t>MINI BITES X 12 UND</t>
  </si>
  <si>
    <t>BITES X 12 UND</t>
  </si>
  <si>
    <t>MINI BITES X 16 UND</t>
  </si>
  <si>
    <t>BITES X 16 UND</t>
  </si>
  <si>
    <t xml:space="preserve">ARITOS </t>
  </si>
  <si>
    <t xml:space="preserve">ARITOS
</t>
  </si>
  <si>
    <t>ARITO LIGHT</t>
  </si>
  <si>
    <t>ARITO ARANDANO</t>
  </si>
  <si>
    <t>ARITO FRAMBUESA</t>
  </si>
  <si>
    <t>ARITO VASCO</t>
  </si>
  <si>
    <t>ARITO VASCO AGRAZ</t>
  </si>
  <si>
    <t>ARITO VASCO ARANDANO</t>
  </si>
  <si>
    <t>ARITO VASCO ZERO</t>
  </si>
  <si>
    <t>ARITO PISTACHO</t>
  </si>
  <si>
    <t>ARITO CHOCOFLAN</t>
  </si>
  <si>
    <t>MONOPORCION</t>
  </si>
  <si>
    <t>MONOPORCION ZERO FRUTOS ROJOS</t>
  </si>
  <si>
    <t>PX CHEESECAKE N</t>
  </si>
  <si>
    <t>TOTAL PX</t>
  </si>
  <si>
    <t>TOTAL CHEESECAKES</t>
  </si>
  <si>
    <t>PX CHEESECAKE S/A</t>
  </si>
  <si>
    <t>MINIMEDIANO NORMAL</t>
  </si>
  <si>
    <t>MINIMEDIANOS</t>
  </si>
  <si>
    <t>MINIMEDIANO SIN AZÚCAR</t>
  </si>
  <si>
    <t>MEDIANO NORMAL</t>
  </si>
  <si>
    <t>MEDIANOS</t>
  </si>
  <si>
    <t>MEDIANO SIN AZÚCAR</t>
  </si>
  <si>
    <t>DOBLE NORMAL</t>
  </si>
  <si>
    <t>DOBLES</t>
  </si>
  <si>
    <t>DOBLE SIN AZÚCAR</t>
  </si>
  <si>
    <t>TRIPLE NORMAL</t>
  </si>
  <si>
    <t>TRIPLES</t>
  </si>
  <si>
    <t>TRIPLE SIN AZÚCAR</t>
  </si>
  <si>
    <t>PORCION ESPECIAL</t>
  </si>
  <si>
    <t>MED 10PX</t>
  </si>
  <si>
    <t>MED CARAMELO</t>
  </si>
  <si>
    <t>MED FESTIVAL CHEESECAKES</t>
  </si>
  <si>
    <t>MED ESPECIAL</t>
  </si>
  <si>
    <t>MED FRAMBUESA</t>
  </si>
  <si>
    <t>MED FRUTOS ROJOS</t>
  </si>
  <si>
    <t>MED FRUTOS ROJOS ZERO</t>
  </si>
  <si>
    <t>MED LIMON</t>
  </si>
  <si>
    <t>MED MARACUYA</t>
  </si>
  <si>
    <t>MED NEW YOR</t>
  </si>
  <si>
    <t>MED SOLO FRESAS CON MENSAJE</t>
  </si>
  <si>
    <t>MED BLACKBERRY/BROWNIE</t>
  </si>
  <si>
    <t>MED BROWNIE</t>
  </si>
  <si>
    <t>MED VASCO</t>
  </si>
  <si>
    <t>MED VASCO FURTOS DEL BOSQUE</t>
  </si>
  <si>
    <t>DOBLE ESPECIAL</t>
  </si>
  <si>
    <t>3X4 CHEESECAKE TRADICIONAL</t>
  </si>
  <si>
    <t>3X4 CHEESE TRADICIONAL</t>
  </si>
  <si>
    <t>3X4 CHEESECAKE LIGHT</t>
  </si>
  <si>
    <t>AMERICAN CUPS</t>
  </si>
  <si>
    <t>SHORTCAKE</t>
  </si>
  <si>
    <t>CHOCO OREO</t>
  </si>
  <si>
    <t>CHOCORRAMO</t>
  </si>
  <si>
    <t>FRAMBUESA</t>
  </si>
  <si>
    <t>ZANAHORIA</t>
  </si>
  <si>
    <t>RED LEMON</t>
  </si>
  <si>
    <t>TRES LECHES ZERO</t>
  </si>
  <si>
    <t>MINITARTALETA NORMAL</t>
  </si>
  <si>
    <t>MINITARTALETA</t>
  </si>
  <si>
    <t>MINITARTALETA S/A</t>
  </si>
  <si>
    <t>PX TARTALETA N</t>
  </si>
  <si>
    <t>TARTALETA PX</t>
  </si>
  <si>
    <t>PX TARTALETAS S/A</t>
  </si>
  <si>
    <t>TARTALETA 8PX N</t>
  </si>
  <si>
    <t>TARTALETA 8PX</t>
  </si>
  <si>
    <t>TARTALETA 8PX S/A</t>
  </si>
  <si>
    <t>TARTALETA  12PX N</t>
  </si>
  <si>
    <t>TARTALETA 12PX</t>
  </si>
  <si>
    <t>TARTALETA  12PX S/A</t>
  </si>
  <si>
    <t>TARTALETA  18PX N</t>
  </si>
  <si>
    <t>TARTALETA 18PX</t>
  </si>
  <si>
    <t>TARTALETA</t>
  </si>
  <si>
    <t>TARTALETA  18PX S/A</t>
  </si>
  <si>
    <t>MERENGON PERSONAL</t>
  </si>
  <si>
    <t>PIE LIMON</t>
  </si>
  <si>
    <t>PIE MANZANA</t>
  </si>
  <si>
    <t>MILHOJAS</t>
  </si>
  <si>
    <t>COPITAS 3 LECHES</t>
  </si>
  <si>
    <t>PROMOCION</t>
  </si>
  <si>
    <t>2 PORCIONES DE TORTA</t>
  </si>
  <si>
    <t>PX PONQUES</t>
  </si>
  <si>
    <t>PX EN CUADROS REDVELVET</t>
  </si>
  <si>
    <t>PX EN CUADROS ZANAHORIA</t>
  </si>
  <si>
    <t>MINIPONQUES</t>
  </si>
  <si>
    <t xml:space="preserve">MINIPONQUE
</t>
  </si>
  <si>
    <t>MINIP. S/AZUCAR</t>
  </si>
  <si>
    <t>MINIPONQUÉ KINDER</t>
  </si>
  <si>
    <t>MINIPONQUÉ FRUTOS ROJOS</t>
  </si>
  <si>
    <t>MINIPONQUÉ M&amp;M</t>
  </si>
  <si>
    <t>MINIPONQUÉ OREO</t>
  </si>
  <si>
    <t>MINIPONQUÉ REDVELVET</t>
  </si>
  <si>
    <t>MINIPONQUÉ NUTELLA</t>
  </si>
  <si>
    <t>MINIPONQUÉ SELVA NEGRA</t>
  </si>
  <si>
    <t>MINIPONQUÉ WALLNUT</t>
  </si>
  <si>
    <t>TORTAS</t>
  </si>
  <si>
    <t>TORTA 5 PX</t>
  </si>
  <si>
    <t xml:space="preserve">TORTA 5 PX GANACHE </t>
  </si>
  <si>
    <t>TOTTA 5 PX RED VELVET</t>
  </si>
  <si>
    <t>T. 3 Leches Zero 5 PX</t>
  </si>
  <si>
    <t>TORTA 8 PX</t>
  </si>
  <si>
    <t xml:space="preserve">TORTA 8PX
</t>
  </si>
  <si>
    <t>TORTA 8 PX S/AZÚCAR</t>
  </si>
  <si>
    <t>TOTAL TORTAS</t>
  </si>
  <si>
    <t>TORTA 3 LECHES 8PX</t>
  </si>
  <si>
    <t>TORTA 8PX GANACHE</t>
  </si>
  <si>
    <t>TORTA 8PX CHOCOFRAMBUESA</t>
  </si>
  <si>
    <t>TORTA 8 PX KINDER</t>
  </si>
  <si>
    <t>TORTA 8PX MMS</t>
  </si>
  <si>
    <t>TORTA 8 PX NUTELLA</t>
  </si>
  <si>
    <t>TORTA 8PX RED VELVET</t>
  </si>
  <si>
    <t>TORTA 8PX SHORTCAKE</t>
  </si>
  <si>
    <t>TORTA 8 PX SELVA NEGRA</t>
  </si>
  <si>
    <t>TORTA 8 PX WALLNUT</t>
  </si>
  <si>
    <t>TORTA 8PX ZANAHORIA</t>
  </si>
  <si>
    <t>TORTA 12PX</t>
  </si>
  <si>
    <t xml:space="preserve">TORTA 12PX
</t>
  </si>
  <si>
    <t>TORTA 12 PX 3 LECHES</t>
  </si>
  <si>
    <t>TORTA 12 PX OREO</t>
  </si>
  <si>
    <t>TORTA 12 PX KINDER</t>
  </si>
  <si>
    <t>TORTA 12 PX CROCANTE DE CARAMELO</t>
  </si>
  <si>
    <t>TORTA 12 PX M&amp;M</t>
  </si>
  <si>
    <t>TORTA 12 PX NUTELLA</t>
  </si>
  <si>
    <t>TORTA 12PX REDVELVET</t>
  </si>
  <si>
    <t>TORTA 12 PX SELVA NEGRA</t>
  </si>
  <si>
    <t>TORTA 12 PX WALLNUT</t>
  </si>
  <si>
    <t>TORTA 18PX</t>
  </si>
  <si>
    <t>TORTA 18 PX OREO</t>
  </si>
  <si>
    <t>PRODUCTOS DE SAL</t>
  </si>
  <si>
    <t>PALOS DE QUESO</t>
  </si>
  <si>
    <t>PASTELES DE POLLO</t>
  </si>
  <si>
    <t>BROWNIES</t>
  </si>
  <si>
    <t>MINI BROWNIES</t>
  </si>
  <si>
    <t>BLONDIE</t>
  </si>
  <si>
    <t>CHEESECAKES</t>
  </si>
  <si>
    <t>CHIPS NEGRO</t>
  </si>
  <si>
    <t>CHOCOLATE</t>
  </si>
  <si>
    <t>M´M´S</t>
  </si>
  <si>
    <t>OREO</t>
  </si>
  <si>
    <t>REDVELVET</t>
  </si>
  <si>
    <t>CAJA DE MINI BROWNIES X8</t>
  </si>
  <si>
    <t>CAJA DEMINI BROWNIES X8</t>
  </si>
  <si>
    <t>CAJA DEMINI BROWNIES X16</t>
  </si>
  <si>
    <t>GALLETERIA</t>
  </si>
  <si>
    <t>BOLSALFA ALFAJOR PEQUEÑO</t>
  </si>
  <si>
    <t>BOLSAFA ALFAJOR PEQUEÑO</t>
  </si>
  <si>
    <t>CAJA OJITOS DE MERMELADA</t>
  </si>
  <si>
    <t>CAJA GALLETAS SURTIDAS</t>
  </si>
  <si>
    <t>CAJA DE MINIALFAJORES X16</t>
  </si>
  <si>
    <t>GALLETAS AVENA</t>
  </si>
  <si>
    <t>GALLETAS CHOCOLACHIPS</t>
  </si>
  <si>
    <t>BEBIDAS CALIENTES</t>
  </si>
  <si>
    <t>CAFÉ LATTE</t>
  </si>
  <si>
    <t xml:space="preserve">TOTAL CAFÉ
</t>
  </si>
  <si>
    <t>ICED LATTE</t>
  </si>
  <si>
    <t>CAPUCHINO</t>
  </si>
  <si>
    <t>AMERICANO</t>
  </si>
  <si>
    <t>AMERICANO DOBLE</t>
  </si>
  <si>
    <t>EXPRESSO</t>
  </si>
  <si>
    <t>MACCHIATO</t>
  </si>
  <si>
    <t>AFFOGATO</t>
  </si>
  <si>
    <t>TOTAL CAFÉ POR ALMACEN</t>
  </si>
  <si>
    <t>TOTAL VENTA CAFÉ POR ALMACEN</t>
  </si>
  <si>
    <t>AROMATICA DE FRUTAS</t>
  </si>
  <si>
    <t>AROMATICA HIERBABUENA</t>
  </si>
  <si>
    <t>MILO</t>
  </si>
  <si>
    <t>TE EN AGUA</t>
  </si>
  <si>
    <t>TE EN LECHE</t>
  </si>
  <si>
    <t>TE CHAÍ</t>
  </si>
  <si>
    <t>TE VAINILLA</t>
  </si>
  <si>
    <t>TE GOLDEN MILK</t>
  </si>
  <si>
    <t>TE MATCHA</t>
  </si>
  <si>
    <t>BLUE CHAI</t>
  </si>
  <si>
    <t>CHAI AMATISTA</t>
  </si>
  <si>
    <t>SODA DE FRUTOS ROJOS</t>
  </si>
  <si>
    <t>SODA DE MARACUYA</t>
  </si>
  <si>
    <t>SODA DE LULO</t>
  </si>
  <si>
    <t>20% CAPUCHINO MAS TORTA</t>
  </si>
  <si>
    <t>BEBIDAS FRIAS</t>
  </si>
  <si>
    <t>VASO DE LECHE</t>
  </si>
  <si>
    <t>VENTAS DE SEPTIEMBRE 18,19,20 DEL 2026</t>
  </si>
  <si>
    <t>TOTAL VENTAS</t>
  </si>
  <si>
    <t>V.T</t>
  </si>
  <si>
    <t>TE MATCHA CHAÍ</t>
  </si>
  <si>
    <t xml:space="preserve"> </t>
  </si>
  <si>
    <t>P BROWNIES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</si>
</sst>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0"/>
      <color theme="1"/>
      <name val="Calibri"/>
      <family val="2"/>
      <scheme val="minor"/>
    </font>
    <font>
      <sz val="100"/>
      <color theme="1"/>
      <name val="Calibri"/>
      <family val="2"/>
      <scheme val="minor"/>
    </font>
    <font>
      <sz val="13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90"/>
      <color theme="1"/>
      <name val="Calibri"/>
      <family val="2"/>
      <scheme val="minor"/>
    </font>
    <font>
      <sz val="115"/>
      <color theme="1"/>
      <name val="Calibri"/>
      <family val="2"/>
      <scheme val="minor"/>
    </font>
    <font>
      <b/>
      <sz val="80"/>
      <color theme="1"/>
      <name val="Calibri"/>
      <family val="2"/>
      <scheme val="minor"/>
    </font>
    <font>
      <sz val="115"/>
      <name val="Calibri"/>
      <family val="2"/>
      <scheme val="minor"/>
    </font>
    <font>
      <b/>
      <sz val="115"/>
      <color theme="1"/>
      <name val="Calibri"/>
      <family val="2"/>
      <scheme val="minor"/>
    </font>
    <font>
      <b/>
      <u/>
      <sz val="115"/>
      <color theme="1"/>
      <name val="Calibri"/>
      <family val="2"/>
      <scheme val="minor"/>
    </font>
    <font>
      <sz val="112"/>
      <color theme="1"/>
      <name val="Calibri"/>
      <family val="2"/>
      <scheme val="minor"/>
    </font>
    <font>
      <sz val="90"/>
      <color theme="1"/>
      <name val="Calibri"/>
      <family val="2"/>
      <scheme val="minor"/>
    </font>
    <font>
      <b/>
      <sz val="120"/>
      <color theme="1"/>
      <name val="Calibri"/>
      <family val="2"/>
      <scheme val="minor"/>
    </font>
    <font>
      <sz val="120"/>
      <color theme="1"/>
      <name val="Calibri"/>
      <family val="2"/>
      <scheme val="minor"/>
    </font>
    <font>
      <sz val="70"/>
      <color theme="1"/>
      <name val="Calibri"/>
      <family val="2"/>
      <scheme val="minor"/>
    </font>
    <font>
      <sz val="200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4" xfId="0" applyFont="1" applyFill="1" applyBorder="1" applyAlignment="1">
      <alignment horizontal="center"/>
    </xf>
    <xf numFmtId="0" fontId="8" fillId="2" borderId="6" xfId="1" applyNumberFormat="1" applyFont="1" applyFill="1" applyBorder="1"/>
    <xf numFmtId="0" fontId="8" fillId="0" borderId="0" xfId="1" applyNumberFormat="1" applyFont="1" applyFill="1" applyBorder="1"/>
    <xf numFmtId="0" fontId="4" fillId="3" borderId="0" xfId="0" applyFont="1" applyFill="1"/>
    <xf numFmtId="0" fontId="6" fillId="2" borderId="6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0" fillId="3" borderId="0" xfId="0" applyFill="1"/>
    <xf numFmtId="0" fontId="9" fillId="3" borderId="6" xfId="0" applyFont="1" applyFill="1" applyBorder="1" applyAlignment="1">
      <alignment horizontal="left" vertical="top"/>
    </xf>
    <xf numFmtId="0" fontId="8" fillId="3" borderId="6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left" vertical="top"/>
    </xf>
    <xf numFmtId="164" fontId="10" fillId="3" borderId="6" xfId="1" applyNumberFormat="1" applyFont="1" applyFill="1" applyBorder="1"/>
    <xf numFmtId="3" fontId="8" fillId="0" borderId="0" xfId="1" applyNumberFormat="1" applyFont="1" applyFill="1" applyBorder="1"/>
    <xf numFmtId="0" fontId="4" fillId="5" borderId="13" xfId="0" applyFont="1" applyFill="1" applyBorder="1" applyAlignment="1">
      <alignment horizontal="center" textRotation="90" wrapText="1"/>
    </xf>
    <xf numFmtId="0" fontId="8" fillId="3" borderId="4" xfId="0" applyFont="1" applyFill="1" applyBorder="1" applyAlignment="1">
      <alignment horizontal="right"/>
    </xf>
    <xf numFmtId="0" fontId="8" fillId="3" borderId="5" xfId="0" applyFont="1" applyFill="1" applyBorder="1" applyAlignment="1">
      <alignment horizontal="right"/>
    </xf>
    <xf numFmtId="0" fontId="6" fillId="2" borderId="6" xfId="0" applyFont="1" applyFill="1" applyBorder="1" applyAlignment="1">
      <alignment vertical="center"/>
    </xf>
    <xf numFmtId="0" fontId="4" fillId="5" borderId="12" xfId="0" applyFont="1" applyFill="1" applyBorder="1" applyAlignment="1">
      <alignment horizontal="center" textRotation="90" wrapText="1"/>
    </xf>
    <xf numFmtId="3" fontId="3" fillId="0" borderId="1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0" fillId="3" borderId="0" xfId="0" applyFill="1" applyAlignment="1">
      <alignment vertical="center"/>
    </xf>
    <xf numFmtId="0" fontId="11" fillId="5" borderId="6" xfId="0" applyFont="1" applyFill="1" applyBorder="1" applyAlignment="1">
      <alignment horizontal="center"/>
    </xf>
    <xf numFmtId="0" fontId="6" fillId="3" borderId="14" xfId="0" applyFont="1" applyFill="1" applyBorder="1" applyAlignment="1">
      <alignment vertical="top"/>
    </xf>
    <xf numFmtId="0" fontId="6" fillId="2" borderId="14" xfId="0" applyFont="1" applyFill="1" applyBorder="1" applyAlignment="1">
      <alignment vertical="center"/>
    </xf>
    <xf numFmtId="3" fontId="8" fillId="0" borderId="6" xfId="1" applyNumberFormat="1" applyFont="1" applyBorder="1"/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9" fillId="3" borderId="6" xfId="0" applyFont="1" applyFill="1" applyBorder="1" applyAlignment="1">
      <alignment horizontal="left" vertical="center" wrapText="1"/>
    </xf>
    <xf numFmtId="0" fontId="9" fillId="3" borderId="6" xfId="0" applyFont="1" applyFill="1" applyBorder="1" applyAlignment="1">
      <alignment horizontal="left" vertical="center"/>
    </xf>
    <xf numFmtId="0" fontId="3" fillId="0" borderId="12" xfId="0" applyFont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8" fillId="3" borderId="6" xfId="0" applyFont="1" applyFill="1" applyBorder="1"/>
    <xf numFmtId="0" fontId="10" fillId="3" borderId="6" xfId="0" applyFont="1" applyFill="1" applyBorder="1" applyAlignment="1">
      <alignment horizontal="center"/>
    </xf>
    <xf numFmtId="3" fontId="13" fillId="0" borderId="12" xfId="0" applyNumberFormat="1" applyFont="1" applyBorder="1" applyAlignment="1">
      <alignment horizontal="center"/>
    </xf>
    <xf numFmtId="3" fontId="13" fillId="0" borderId="0" xfId="0" applyNumberFormat="1" applyFont="1" applyAlignment="1">
      <alignment horizontal="center"/>
    </xf>
    <xf numFmtId="3" fontId="13" fillId="0" borderId="13" xfId="0" applyNumberFormat="1" applyFont="1" applyBorder="1" applyAlignment="1">
      <alignment horizontal="center"/>
    </xf>
    <xf numFmtId="43" fontId="8" fillId="3" borderId="0" xfId="1" applyFont="1" applyFill="1"/>
    <xf numFmtId="0" fontId="7" fillId="2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9" fillId="2" borderId="20" xfId="0" applyFont="1" applyFill="1" applyBorder="1" applyAlignment="1">
      <alignment vertical="center"/>
    </xf>
    <xf numFmtId="0" fontId="9" fillId="2" borderId="8" xfId="0" applyFont="1" applyFill="1" applyBorder="1" applyAlignment="1">
      <alignment vertical="center"/>
    </xf>
    <xf numFmtId="43" fontId="8" fillId="0" borderId="0" xfId="1" applyFont="1" applyFill="1"/>
    <xf numFmtId="0" fontId="3" fillId="0" borderId="1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3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0" fontId="3" fillId="0" borderId="13" xfId="0" applyFont="1" applyBorder="1"/>
    <xf numFmtId="0" fontId="3" fillId="0" borderId="12" xfId="0" applyFont="1" applyBorder="1"/>
    <xf numFmtId="0" fontId="9" fillId="2" borderId="21" xfId="0" applyFont="1" applyFill="1" applyBorder="1" applyAlignment="1">
      <alignment vertical="center"/>
    </xf>
    <xf numFmtId="0" fontId="9" fillId="2" borderId="15" xfId="0" applyFont="1" applyFill="1" applyBorder="1" applyAlignment="1">
      <alignment vertic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0" fillId="6" borderId="0" xfId="0" applyFill="1"/>
    <xf numFmtId="0" fontId="9" fillId="6" borderId="6" xfId="0" applyFont="1" applyFill="1" applyBorder="1" applyAlignment="1">
      <alignment horizontal="left" vertical="top"/>
    </xf>
    <xf numFmtId="0" fontId="9" fillId="6" borderId="3" xfId="0" applyFont="1" applyFill="1" applyBorder="1" applyAlignment="1">
      <alignment horizontal="left" vertical="top"/>
    </xf>
    <xf numFmtId="0" fontId="5" fillId="6" borderId="0" xfId="0" applyFont="1" applyFill="1"/>
    <xf numFmtId="0" fontId="9" fillId="0" borderId="6" xfId="0" applyFont="1" applyBorder="1" applyAlignment="1">
      <alignment horizontal="left" vertical="top"/>
    </xf>
    <xf numFmtId="3" fontId="3" fillId="0" borderId="0" xfId="0" applyNumberFormat="1" applyFont="1"/>
    <xf numFmtId="0" fontId="4" fillId="3" borderId="12" xfId="0" applyFont="1" applyFill="1" applyBorder="1" applyAlignment="1">
      <alignment vertical="top" textRotation="90" wrapText="1"/>
    </xf>
    <xf numFmtId="0" fontId="4" fillId="3" borderId="13" xfId="0" applyFont="1" applyFill="1" applyBorder="1" applyAlignment="1">
      <alignment vertical="top" textRotation="90" wrapText="1"/>
    </xf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3" fontId="8" fillId="0" borderId="0" xfId="1" applyNumberFormat="1" applyFont="1" applyFill="1" applyBorder="1" applyAlignment="1">
      <alignment vertical="center"/>
    </xf>
    <xf numFmtId="0" fontId="13" fillId="0" borderId="0" xfId="0" applyFont="1" applyAlignment="1">
      <alignment horizontal="center"/>
    </xf>
    <xf numFmtId="0" fontId="16" fillId="3" borderId="12" xfId="0" applyFont="1" applyFill="1" applyBorder="1" applyAlignment="1">
      <alignment textRotation="90"/>
    </xf>
    <xf numFmtId="0" fontId="16" fillId="3" borderId="13" xfId="0" applyFont="1" applyFill="1" applyBorder="1" applyAlignment="1">
      <alignment textRotation="90"/>
    </xf>
    <xf numFmtId="0" fontId="7" fillId="2" borderId="6" xfId="0" applyFont="1" applyFill="1" applyBorder="1"/>
    <xf numFmtId="0" fontId="8" fillId="6" borderId="6" xfId="0" applyFont="1" applyFill="1" applyBorder="1" applyAlignment="1">
      <alignment horizontal="center"/>
    </xf>
    <xf numFmtId="0" fontId="9" fillId="6" borderId="14" xfId="0" applyFont="1" applyFill="1" applyBorder="1" applyAlignment="1">
      <alignment horizontal="left" vertical="top"/>
    </xf>
    <xf numFmtId="0" fontId="9" fillId="6" borderId="14" xfId="0" applyFont="1" applyFill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9" fillId="2" borderId="6" xfId="0" applyFont="1" applyFill="1" applyBorder="1" applyAlignment="1">
      <alignment horizontal="left" vertical="top"/>
    </xf>
    <xf numFmtId="43" fontId="4" fillId="3" borderId="0" xfId="1" applyFont="1" applyFill="1"/>
    <xf numFmtId="43" fontId="8" fillId="0" borderId="0" xfId="1" applyFont="1"/>
    <xf numFmtId="43" fontId="4" fillId="0" borderId="0" xfId="1" applyFont="1"/>
    <xf numFmtId="43" fontId="4" fillId="0" borderId="0" xfId="1" applyFont="1" applyBorder="1"/>
    <xf numFmtId="43" fontId="8" fillId="0" borderId="0" xfId="1" applyFont="1" applyBorder="1"/>
    <xf numFmtId="0" fontId="4" fillId="3" borderId="0" xfId="0" applyFont="1" applyFill="1" applyAlignment="1">
      <alignment vertical="center" textRotation="90" wrapText="1"/>
    </xf>
    <xf numFmtId="0" fontId="3" fillId="0" borderId="0" xfId="0" applyFont="1" applyAlignment="1">
      <alignment vertical="center" textRotation="90" wrapText="1"/>
    </xf>
    <xf numFmtId="3" fontId="10" fillId="0" borderId="0" xfId="1" applyNumberFormat="1" applyFont="1" applyFill="1" applyBorder="1"/>
    <xf numFmtId="0" fontId="11" fillId="2" borderId="4" xfId="0" applyFont="1" applyFill="1" applyBorder="1" applyAlignment="1">
      <alignment horizontal="right"/>
    </xf>
    <xf numFmtId="0" fontId="11" fillId="2" borderId="5" xfId="0" applyFont="1" applyFill="1" applyBorder="1" applyAlignment="1">
      <alignment horizontal="right"/>
    </xf>
    <xf numFmtId="0" fontId="11" fillId="2" borderId="6" xfId="0" applyFont="1" applyFill="1" applyBorder="1" applyAlignment="1">
      <alignment horizontal="center"/>
    </xf>
    <xf numFmtId="164" fontId="10" fillId="3" borderId="0" xfId="1" applyNumberFormat="1" applyFont="1" applyFill="1" applyBorder="1"/>
    <xf numFmtId="0" fontId="3" fillId="3" borderId="0" xfId="0" applyFont="1" applyFill="1"/>
    <xf numFmtId="164" fontId="10" fillId="0" borderId="0" xfId="1" applyNumberFormat="1" applyFont="1" applyFill="1" applyBorder="1"/>
    <xf numFmtId="0" fontId="15" fillId="0" borderId="0" xfId="0" applyFont="1" applyAlignment="1">
      <alignment horizontal="center"/>
    </xf>
    <xf numFmtId="0" fontId="8" fillId="0" borderId="0" xfId="1" applyNumberFormat="1" applyFont="1"/>
    <xf numFmtId="164" fontId="18" fillId="0" borderId="0" xfId="0" applyNumberFormat="1" applyFont="1" applyAlignment="1">
      <alignment horizontal="left"/>
    </xf>
    <xf numFmtId="0" fontId="8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0" fontId="14" fillId="0" borderId="0" xfId="0" applyFont="1"/>
    <xf numFmtId="0" fontId="20" fillId="0" borderId="0" xfId="0" applyFont="1" applyAlignment="1">
      <alignment horizontal="center"/>
    </xf>
    <xf numFmtId="164" fontId="19" fillId="0" borderId="0" xfId="0" applyNumberFormat="1" applyFont="1"/>
    <xf numFmtId="0" fontId="19" fillId="0" borderId="0" xfId="0" applyFont="1"/>
    <xf numFmtId="3" fontId="6" fillId="7" borderId="3" xfId="0" applyNumberFormat="1" applyFont="1" applyFill="1" applyBorder="1" applyAlignment="1">
      <alignment horizontal="center" vertical="center"/>
    </xf>
    <xf numFmtId="3" fontId="6" fillId="7" borderId="7" xfId="0" applyNumberFormat="1" applyFont="1" applyFill="1" applyBorder="1" applyAlignment="1">
      <alignment horizontal="center" vertical="center"/>
    </xf>
    <xf numFmtId="3" fontId="8" fillId="7" borderId="6" xfId="0" applyNumberFormat="1" applyFont="1" applyFill="1" applyBorder="1" applyAlignment="1">
      <alignment horizontal="center"/>
    </xf>
    <xf numFmtId="3" fontId="11" fillId="7" borderId="6" xfId="0" applyNumberFormat="1" applyFont="1" applyFill="1" applyBorder="1" applyAlignment="1">
      <alignment horizontal="center"/>
    </xf>
    <xf numFmtId="0" fontId="10" fillId="7" borderId="6" xfId="0" applyFont="1" applyFill="1" applyBorder="1" applyAlignment="1">
      <alignment horizontal="center"/>
    </xf>
    <xf numFmtId="3" fontId="10" fillId="7" borderId="6" xfId="0" applyNumberFormat="1" applyFont="1" applyFill="1" applyBorder="1" applyAlignment="1">
      <alignment horizontal="center"/>
    </xf>
    <xf numFmtId="0" fontId="8" fillId="7" borderId="6" xfId="0" applyFont="1" applyFill="1" applyBorder="1" applyAlignment="1">
      <alignment horizontal="center"/>
    </xf>
    <xf numFmtId="3" fontId="6" fillId="7" borderId="4" xfId="0" applyNumberFormat="1" applyFont="1" applyFill="1" applyBorder="1" applyAlignment="1">
      <alignment horizontal="center"/>
    </xf>
    <xf numFmtId="3" fontId="6" fillId="7" borderId="6" xfId="0" applyNumberFormat="1" applyFont="1" applyFill="1" applyBorder="1" applyAlignment="1">
      <alignment horizontal="center"/>
    </xf>
    <xf numFmtId="3" fontId="9" fillId="7" borderId="6" xfId="0" applyNumberFormat="1" applyFont="1" applyFill="1" applyBorder="1" applyAlignment="1">
      <alignment horizontal="left" vertical="top"/>
    </xf>
    <xf numFmtId="3" fontId="8" fillId="7" borderId="4" xfId="0" applyNumberFormat="1" applyFont="1" applyFill="1" applyBorder="1" applyAlignment="1">
      <alignment horizontal="center"/>
    </xf>
    <xf numFmtId="3" fontId="11" fillId="7" borderId="4" xfId="0" applyNumberFormat="1" applyFont="1" applyFill="1" applyBorder="1" applyAlignment="1">
      <alignment horizontal="center"/>
    </xf>
    <xf numFmtId="3" fontId="8" fillId="7" borderId="4" xfId="0" applyNumberFormat="1" applyFont="1" applyFill="1" applyBorder="1" applyAlignment="1">
      <alignment horizontal="right"/>
    </xf>
    <xf numFmtId="3" fontId="17" fillId="7" borderId="4" xfId="1" applyNumberFormat="1" applyFont="1" applyFill="1" applyBorder="1" applyAlignment="1">
      <alignment horizontal="center" vertical="center"/>
    </xf>
    <xf numFmtId="3" fontId="3" fillId="7" borderId="0" xfId="0" applyNumberFormat="1" applyFont="1" applyFill="1" applyAlignment="1">
      <alignment horizontal="center"/>
    </xf>
    <xf numFmtId="0" fontId="9" fillId="3" borderId="4" xfId="0" applyFont="1" applyFill="1" applyBorder="1" applyAlignment="1">
      <alignment horizontal="center" vertical="top"/>
    </xf>
    <xf numFmtId="0" fontId="9" fillId="3" borderId="5" xfId="0" applyFont="1" applyFill="1" applyBorder="1" applyAlignment="1">
      <alignment horizontal="center" vertical="top"/>
    </xf>
    <xf numFmtId="164" fontId="18" fillId="0" borderId="4" xfId="0" applyNumberFormat="1" applyFont="1" applyBorder="1" applyAlignment="1">
      <alignment horizontal="left"/>
    </xf>
    <xf numFmtId="164" fontId="18" fillId="0" borderId="22" xfId="0" applyNumberFormat="1" applyFont="1" applyBorder="1" applyAlignment="1">
      <alignment horizontal="left"/>
    </xf>
    <xf numFmtId="164" fontId="18" fillId="0" borderId="5" xfId="0" applyNumberFormat="1" applyFont="1" applyBorder="1" applyAlignment="1">
      <alignment horizontal="left"/>
    </xf>
    <xf numFmtId="164" fontId="19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15" fillId="2" borderId="4" xfId="0" applyFont="1" applyFill="1" applyBorder="1" applyAlignment="1">
      <alignment horizontal="center"/>
    </xf>
    <xf numFmtId="0" fontId="15" fillId="2" borderId="22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9" fillId="0" borderId="4" xfId="0" applyFont="1" applyBorder="1" applyAlignment="1">
      <alignment horizontal="center" vertical="top"/>
    </xf>
    <xf numFmtId="0" fontId="9" fillId="0" borderId="5" xfId="0" applyFont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6" fillId="3" borderId="5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 vertical="top"/>
    </xf>
    <xf numFmtId="0" fontId="9" fillId="3" borderId="5" xfId="0" applyFont="1" applyFill="1" applyBorder="1" applyAlignment="1">
      <alignment horizontal="center" vertical="top"/>
    </xf>
    <xf numFmtId="0" fontId="3" fillId="3" borderId="0" xfId="0" applyFont="1" applyFill="1" applyAlignment="1">
      <alignment horizontal="center"/>
    </xf>
    <xf numFmtId="0" fontId="9" fillId="2" borderId="4" xfId="0" applyFont="1" applyFill="1" applyBorder="1" applyAlignment="1">
      <alignment horizontal="center" vertical="top"/>
    </xf>
    <xf numFmtId="0" fontId="9" fillId="2" borderId="5" xfId="0" applyFont="1" applyFill="1" applyBorder="1" applyAlignment="1">
      <alignment horizontal="center" vertical="top"/>
    </xf>
    <xf numFmtId="0" fontId="6" fillId="2" borderId="20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3" fontId="3" fillId="0" borderId="12" xfId="0" applyNumberFormat="1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textRotation="90" wrapText="1"/>
    </xf>
    <xf numFmtId="0" fontId="4" fillId="3" borderId="13" xfId="0" applyFont="1" applyFill="1" applyBorder="1" applyAlignment="1">
      <alignment horizontal="center" vertical="center" textRotation="90" wrapText="1"/>
    </xf>
    <xf numFmtId="164" fontId="3" fillId="0" borderId="12" xfId="0" applyNumberFormat="1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3" fillId="0" borderId="13" xfId="0" applyNumberFormat="1" applyFont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top"/>
    </xf>
    <xf numFmtId="0" fontId="9" fillId="3" borderId="8" xfId="0" applyFont="1" applyFill="1" applyBorder="1" applyAlignment="1">
      <alignment horizontal="center" vertical="top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3" fontId="4" fillId="3" borderId="12" xfId="0" applyNumberFormat="1" applyFont="1" applyFill="1" applyBorder="1" applyAlignment="1">
      <alignment horizontal="left" textRotation="90" wrapText="1"/>
    </xf>
    <xf numFmtId="0" fontId="4" fillId="3" borderId="13" xfId="0" applyFont="1" applyFill="1" applyBorder="1" applyAlignment="1">
      <alignment horizontal="left" textRotation="90" wrapText="1"/>
    </xf>
    <xf numFmtId="0" fontId="4" fillId="3" borderId="12" xfId="0" applyFont="1" applyFill="1" applyBorder="1" applyAlignment="1">
      <alignment horizontal="left" textRotation="90" wrapText="1"/>
    </xf>
    <xf numFmtId="3" fontId="13" fillId="0" borderId="17" xfId="0" applyNumberFormat="1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6" fillId="3" borderId="12" xfId="0" applyFont="1" applyFill="1" applyBorder="1" applyAlignment="1">
      <alignment horizontal="center" textRotation="90"/>
    </xf>
    <xf numFmtId="0" fontId="16" fillId="3" borderId="13" xfId="0" applyFont="1" applyFill="1" applyBorder="1" applyAlignment="1">
      <alignment horizontal="center" textRotation="90"/>
    </xf>
    <xf numFmtId="3" fontId="15" fillId="3" borderId="9" xfId="0" applyNumberFormat="1" applyFont="1" applyFill="1" applyBorder="1" applyAlignment="1">
      <alignment horizontal="center" textRotation="90"/>
    </xf>
    <xf numFmtId="3" fontId="15" fillId="3" borderId="11" xfId="0" applyNumberFormat="1" applyFont="1" applyFill="1" applyBorder="1" applyAlignment="1">
      <alignment horizontal="center" textRotation="90"/>
    </xf>
    <xf numFmtId="3" fontId="15" fillId="3" borderId="12" xfId="0" applyNumberFormat="1" applyFont="1" applyFill="1" applyBorder="1" applyAlignment="1">
      <alignment horizontal="center" textRotation="90"/>
    </xf>
    <xf numFmtId="3" fontId="15" fillId="3" borderId="13" xfId="0" applyNumberFormat="1" applyFont="1" applyFill="1" applyBorder="1" applyAlignment="1">
      <alignment horizontal="center" textRotation="90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9" fillId="2" borderId="21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3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3" fontId="3" fillId="0" borderId="13" xfId="0" applyNumberFormat="1" applyFont="1" applyBorder="1" applyAlignment="1">
      <alignment horizontal="center"/>
    </xf>
    <xf numFmtId="0" fontId="9" fillId="2" borderId="3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top"/>
    </xf>
    <xf numFmtId="0" fontId="9" fillId="3" borderId="16" xfId="0" applyFont="1" applyFill="1" applyBorder="1" applyAlignment="1">
      <alignment horizontal="center" vertical="top"/>
    </xf>
    <xf numFmtId="0" fontId="3" fillId="0" borderId="11" xfId="0" applyFont="1" applyBorder="1" applyAlignment="1">
      <alignment horizontal="center"/>
    </xf>
    <xf numFmtId="3" fontId="13" fillId="0" borderId="18" xfId="0" applyNumberFormat="1" applyFont="1" applyBorder="1" applyAlignment="1">
      <alignment horizontal="center"/>
    </xf>
    <xf numFmtId="3" fontId="13" fillId="0" borderId="19" xfId="0" applyNumberFormat="1" applyFont="1" applyBorder="1" applyAlignment="1">
      <alignment horizontal="center"/>
    </xf>
    <xf numFmtId="0" fontId="8" fillId="4" borderId="3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3" fontId="4" fillId="5" borderId="12" xfId="0" applyNumberFormat="1" applyFont="1" applyFill="1" applyBorder="1" applyAlignment="1">
      <alignment horizontal="center" textRotation="90" wrapText="1"/>
    </xf>
    <xf numFmtId="0" fontId="4" fillId="5" borderId="13" xfId="0" applyFont="1" applyFill="1" applyBorder="1" applyAlignment="1">
      <alignment horizontal="center" textRotation="90" wrapText="1"/>
    </xf>
    <xf numFmtId="0" fontId="4" fillId="5" borderId="12" xfId="0" applyFont="1" applyFill="1" applyBorder="1" applyAlignment="1">
      <alignment horizontal="center" textRotation="90" wrapText="1"/>
    </xf>
    <xf numFmtId="0" fontId="9" fillId="4" borderId="3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top" textRotation="90" wrapText="1"/>
    </xf>
    <xf numFmtId="0" fontId="4" fillId="5" borderId="13" xfId="0" applyFont="1" applyFill="1" applyBorder="1" applyAlignment="1">
      <alignment horizontal="center" vertical="top" textRotation="90" wrapText="1"/>
    </xf>
    <xf numFmtId="0" fontId="4" fillId="5" borderId="0" xfId="0" applyFont="1" applyFill="1" applyAlignment="1">
      <alignment horizontal="center" vertical="top" textRotation="90" wrapText="1"/>
    </xf>
    <xf numFmtId="3" fontId="13" fillId="0" borderId="12" xfId="0" applyNumberFormat="1" applyFont="1" applyBorder="1" applyAlignment="1">
      <alignment horizontal="center"/>
    </xf>
    <xf numFmtId="3" fontId="13" fillId="0" borderId="0" xfId="0" applyNumberFormat="1" applyFont="1" applyAlignment="1">
      <alignment horizontal="center"/>
    </xf>
    <xf numFmtId="3" fontId="13" fillId="0" borderId="13" xfId="0" applyNumberFormat="1" applyFont="1" applyBorder="1" applyAlignment="1">
      <alignment horizontal="center"/>
    </xf>
    <xf numFmtId="3" fontId="6" fillId="7" borderId="3" xfId="0" applyNumberFormat="1" applyFont="1" applyFill="1" applyBorder="1" applyAlignment="1">
      <alignment horizontal="center" vertical="center"/>
    </xf>
    <xf numFmtId="3" fontId="6" fillId="7" borderId="7" xfId="0" applyNumberFormat="1" applyFont="1" applyFill="1" applyBorder="1" applyAlignment="1">
      <alignment horizontal="center" vertical="center"/>
    </xf>
    <xf numFmtId="164" fontId="19" fillId="0" borderId="6" xfId="0" applyNumberFormat="1" applyFont="1" applyBorder="1" applyAlignment="1">
      <alignment horizontal="center"/>
    </xf>
    <xf numFmtId="164" fontId="19" fillId="0" borderId="6" xfId="0" applyNumberFormat="1" applyFont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12411989</xdr:colOff>
      <xdr:row>91</xdr:row>
      <xdr:rowOff>0</xdr:rowOff>
    </xdr:from>
    <xdr:to>
      <xdr:col>26</xdr:col>
      <xdr:colOff>13317798</xdr:colOff>
      <xdr:row>91</xdr:row>
      <xdr:rowOff>1209056</xdr:rowOff>
    </xdr:to>
    <xdr:sp macro="" textlink="">
      <xdr:nvSpPr>
        <xdr:cNvPr id="2" name="Cerrar llave 1">
          <a:extLst>
            <a:ext uri="{FF2B5EF4-FFF2-40B4-BE49-F238E27FC236}">
              <a16:creationId xmlns:a16="http://schemas.microsoft.com/office/drawing/2014/main" id="{1F590F1B-4A78-45DB-8445-C56BAA71F586}"/>
            </a:ext>
          </a:extLst>
        </xdr:cNvPr>
        <xdr:cNvSpPr/>
      </xdr:nvSpPr>
      <xdr:spPr>
        <a:xfrm>
          <a:off x="129302789" y="126577725"/>
          <a:ext cx="934" cy="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3" name="Cerrar llave 2">
          <a:extLst>
            <a:ext uri="{FF2B5EF4-FFF2-40B4-BE49-F238E27FC236}">
              <a16:creationId xmlns:a16="http://schemas.microsoft.com/office/drawing/2014/main" id="{CBA8C632-9578-4E0D-997C-B278BD200C2A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853B2AE2-79B3-4DE5-8332-A3A04F892854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5" name="Cerrar llave 4">
          <a:extLst>
            <a:ext uri="{FF2B5EF4-FFF2-40B4-BE49-F238E27FC236}">
              <a16:creationId xmlns:a16="http://schemas.microsoft.com/office/drawing/2014/main" id="{2058AF77-234F-4E34-A760-194B8200F85C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465CF70A-07A5-4BCF-8131-C2442CC1B288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7" name="Cerrar llave 6">
          <a:extLst>
            <a:ext uri="{FF2B5EF4-FFF2-40B4-BE49-F238E27FC236}">
              <a16:creationId xmlns:a16="http://schemas.microsoft.com/office/drawing/2014/main" id="{1A333EA4-7DF7-4FEF-BDC4-B1FD6640FA48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2A82BB89-350E-451E-8CE6-49C2CD26FDC7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9" name="Cerrar llave 8">
          <a:extLst>
            <a:ext uri="{FF2B5EF4-FFF2-40B4-BE49-F238E27FC236}">
              <a16:creationId xmlns:a16="http://schemas.microsoft.com/office/drawing/2014/main" id="{D87BB80E-57C4-4076-ACF1-40346AB21425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34C80F1E-8ED8-4DFF-82E1-F6F95E6C0A09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11" name="Cerrar llave 10">
          <a:extLst>
            <a:ext uri="{FF2B5EF4-FFF2-40B4-BE49-F238E27FC236}">
              <a16:creationId xmlns:a16="http://schemas.microsoft.com/office/drawing/2014/main" id="{748E1A18-E18B-4984-8F2E-D382039ECAD9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9D490E75-9C24-4C48-80EB-C2CE7390A65B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1500"/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13" name="Cerrar llave 12">
          <a:extLst>
            <a:ext uri="{FF2B5EF4-FFF2-40B4-BE49-F238E27FC236}">
              <a16:creationId xmlns:a16="http://schemas.microsoft.com/office/drawing/2014/main" id="{C07DFE03-82CE-4BAF-ADCB-AD1A50460474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D153A20E-8F21-48E9-BC3B-C4535464D83C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1500"/>
        </a:p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15" name="Cerrar llave 14">
          <a:extLst>
            <a:ext uri="{FF2B5EF4-FFF2-40B4-BE49-F238E27FC236}">
              <a16:creationId xmlns:a16="http://schemas.microsoft.com/office/drawing/2014/main" id="{D29AAD48-24DF-4F58-9FE7-A1DE66BB4D10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45459E77-7EC2-4C40-BB20-035296FBD8E9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17" name="Cerrar llave 16">
          <a:extLst>
            <a:ext uri="{FF2B5EF4-FFF2-40B4-BE49-F238E27FC236}">
              <a16:creationId xmlns:a16="http://schemas.microsoft.com/office/drawing/2014/main" id="{0B7D6E29-BFA9-441E-BFA3-9E99E276B668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82C3ED7F-1F9C-45B9-A5AA-F3AC64A73168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19" name="Cerrar llave 18">
          <a:extLst>
            <a:ext uri="{FF2B5EF4-FFF2-40B4-BE49-F238E27FC236}">
              <a16:creationId xmlns:a16="http://schemas.microsoft.com/office/drawing/2014/main" id="{90F969E6-361B-489B-B46A-EFE8B3D66AB0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43DF320B-82F1-45C6-B0A1-9477B30F9604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21" name="Cerrar llave 20">
          <a:extLst>
            <a:ext uri="{FF2B5EF4-FFF2-40B4-BE49-F238E27FC236}">
              <a16:creationId xmlns:a16="http://schemas.microsoft.com/office/drawing/2014/main" id="{6AEB6419-7670-483C-BAFA-A6BBB76D26FD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6B3929D5-2701-4C10-B21F-2DF086C60CC1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23" name="Cerrar llave 22">
          <a:extLst>
            <a:ext uri="{FF2B5EF4-FFF2-40B4-BE49-F238E27FC236}">
              <a16:creationId xmlns:a16="http://schemas.microsoft.com/office/drawing/2014/main" id="{FB414F73-2070-47B6-98F7-4C4326CBB1D0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55FD5CB7-F43C-43F5-A8E2-6D63D749437E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25" name="Cerrar llave 24">
          <a:extLst>
            <a:ext uri="{FF2B5EF4-FFF2-40B4-BE49-F238E27FC236}">
              <a16:creationId xmlns:a16="http://schemas.microsoft.com/office/drawing/2014/main" id="{6737C86D-3CF0-4D0D-93F7-8C1E8596F381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B92F2A4D-4A1D-4271-90C5-18C7485DE3E1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27" name="Cerrar llave 26">
          <a:extLst>
            <a:ext uri="{FF2B5EF4-FFF2-40B4-BE49-F238E27FC236}">
              <a16:creationId xmlns:a16="http://schemas.microsoft.com/office/drawing/2014/main" id="{81576E72-EB93-4FBF-8D76-E74235D0E41C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889A7410-C1DC-446D-8528-B617C9B3CD57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29" name="Cerrar llave 28">
          <a:extLst>
            <a:ext uri="{FF2B5EF4-FFF2-40B4-BE49-F238E27FC236}">
              <a16:creationId xmlns:a16="http://schemas.microsoft.com/office/drawing/2014/main" id="{F59F7EEC-EBCB-4EA0-A78E-51D3E79D3FF1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76900F46-2F54-41CF-BC8B-24B15EAC538A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31" name="Cerrar llave 30">
          <a:extLst>
            <a:ext uri="{FF2B5EF4-FFF2-40B4-BE49-F238E27FC236}">
              <a16:creationId xmlns:a16="http://schemas.microsoft.com/office/drawing/2014/main" id="{047D8B3E-8E0B-4972-AA38-7D17CEE3A194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4BAA427F-AD1A-496C-BEA9-917ACF98048A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33" name="Cerrar llave 32">
          <a:extLst>
            <a:ext uri="{FF2B5EF4-FFF2-40B4-BE49-F238E27FC236}">
              <a16:creationId xmlns:a16="http://schemas.microsoft.com/office/drawing/2014/main" id="{BBD116F7-8300-44C5-B922-C9BA8493F1E2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6B4E9C76-0384-4894-B60B-7F67189D32A6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35" name="Cerrar llave 34">
          <a:extLst>
            <a:ext uri="{FF2B5EF4-FFF2-40B4-BE49-F238E27FC236}">
              <a16:creationId xmlns:a16="http://schemas.microsoft.com/office/drawing/2014/main" id="{C6DCF9E8-CECA-4BC5-9A71-60C4E510F222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94B2AB5A-0EAF-4D48-9B3A-02A1BC2DD83E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37" name="Cerrar llave 36">
          <a:extLst>
            <a:ext uri="{FF2B5EF4-FFF2-40B4-BE49-F238E27FC236}">
              <a16:creationId xmlns:a16="http://schemas.microsoft.com/office/drawing/2014/main" id="{ABCB9281-4AB6-4168-A2A7-339B1BAEB7F8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3B8BBB07-71AF-4BB8-8871-22DBAF16CCAD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39" name="Cerrar llave 38">
          <a:extLst>
            <a:ext uri="{FF2B5EF4-FFF2-40B4-BE49-F238E27FC236}">
              <a16:creationId xmlns:a16="http://schemas.microsoft.com/office/drawing/2014/main" id="{8DBD5C56-7563-4522-9B09-B142EDA94E30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81E5F41C-7962-4B11-A53B-9B385C2F85B6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41" name="Cerrar llave 40">
          <a:extLst>
            <a:ext uri="{FF2B5EF4-FFF2-40B4-BE49-F238E27FC236}">
              <a16:creationId xmlns:a16="http://schemas.microsoft.com/office/drawing/2014/main" id="{C4C57A33-B429-4861-8CFC-3540F7EC465A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EDE1677B-BF04-43F1-9468-36847D509AFA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43" name="Cerrar llave 42">
          <a:extLst>
            <a:ext uri="{FF2B5EF4-FFF2-40B4-BE49-F238E27FC236}">
              <a16:creationId xmlns:a16="http://schemas.microsoft.com/office/drawing/2014/main" id="{9BE38FBA-0F03-44B1-8D7F-C38A092E2326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0450BAA0-099E-4E25-AC0E-C3E046D23C6E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45" name="Cerrar llave 44">
          <a:extLst>
            <a:ext uri="{FF2B5EF4-FFF2-40B4-BE49-F238E27FC236}">
              <a16:creationId xmlns:a16="http://schemas.microsoft.com/office/drawing/2014/main" id="{53C2C19D-D686-4056-BE71-CA354ED5A0FC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5538E5DA-CB89-494C-829B-077FF560F74F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47" name="Cerrar llave 46">
          <a:extLst>
            <a:ext uri="{FF2B5EF4-FFF2-40B4-BE49-F238E27FC236}">
              <a16:creationId xmlns:a16="http://schemas.microsoft.com/office/drawing/2014/main" id="{C45391FC-E172-4453-AD74-243EDFCB6B96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E3BD6ED9-BA61-4FD7-B9BF-BE1D2E6BBE3F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1500"/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49" name="Cerrar llave 48">
          <a:extLst>
            <a:ext uri="{FF2B5EF4-FFF2-40B4-BE49-F238E27FC236}">
              <a16:creationId xmlns:a16="http://schemas.microsoft.com/office/drawing/2014/main" id="{0073BFCF-0AC4-47D3-A207-003BC02AAABF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CE2E5AD0-7EBB-45EC-9010-8247233C02C1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1500"/>
        </a:p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51" name="Cerrar llave 50">
          <a:extLst>
            <a:ext uri="{FF2B5EF4-FFF2-40B4-BE49-F238E27FC236}">
              <a16:creationId xmlns:a16="http://schemas.microsoft.com/office/drawing/2014/main" id="{415C43E2-0A67-4B09-A9A9-94AC1F7D574D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52" name="CuadroTexto 51">
          <a:extLst>
            <a:ext uri="{FF2B5EF4-FFF2-40B4-BE49-F238E27FC236}">
              <a16:creationId xmlns:a16="http://schemas.microsoft.com/office/drawing/2014/main" id="{D2A030E6-50D3-4C22-8B2B-2B4C859EC879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53" name="Cerrar llave 52">
          <a:extLst>
            <a:ext uri="{FF2B5EF4-FFF2-40B4-BE49-F238E27FC236}">
              <a16:creationId xmlns:a16="http://schemas.microsoft.com/office/drawing/2014/main" id="{43D24415-C25B-4DE5-81B5-D881165A2744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2F5D2DB3-6DD2-4954-9990-40BC2D0A82A0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55" name="Cerrar llave 54">
          <a:extLst>
            <a:ext uri="{FF2B5EF4-FFF2-40B4-BE49-F238E27FC236}">
              <a16:creationId xmlns:a16="http://schemas.microsoft.com/office/drawing/2014/main" id="{0DCE16C5-90AA-4826-8FCD-3C74EC40410B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id="{80FA905D-479E-4466-9DF2-48BA96B51782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57" name="Cerrar llave 56">
          <a:extLst>
            <a:ext uri="{FF2B5EF4-FFF2-40B4-BE49-F238E27FC236}">
              <a16:creationId xmlns:a16="http://schemas.microsoft.com/office/drawing/2014/main" id="{3585AF39-C09A-43CF-8289-8BE6AE81F409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8D52716E-990F-4BFF-A6F4-E98F84219CCF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59" name="Cerrar llave 58">
          <a:extLst>
            <a:ext uri="{FF2B5EF4-FFF2-40B4-BE49-F238E27FC236}">
              <a16:creationId xmlns:a16="http://schemas.microsoft.com/office/drawing/2014/main" id="{6C1D21BC-6777-4B90-BFC8-3E59DACC77A3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60" name="CuadroTexto 59">
          <a:extLst>
            <a:ext uri="{FF2B5EF4-FFF2-40B4-BE49-F238E27FC236}">
              <a16:creationId xmlns:a16="http://schemas.microsoft.com/office/drawing/2014/main" id="{9D3CF801-A0C7-4264-9785-81C68FEF30D9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61" name="Cerrar llave 60">
          <a:extLst>
            <a:ext uri="{FF2B5EF4-FFF2-40B4-BE49-F238E27FC236}">
              <a16:creationId xmlns:a16="http://schemas.microsoft.com/office/drawing/2014/main" id="{C834184F-BBA3-43C4-B107-D670E3FD673A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4D5DAC90-6E14-459C-8E82-C211F8E19D4F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63" name="Cerrar llave 62">
          <a:extLst>
            <a:ext uri="{FF2B5EF4-FFF2-40B4-BE49-F238E27FC236}">
              <a16:creationId xmlns:a16="http://schemas.microsoft.com/office/drawing/2014/main" id="{929910C7-525B-4A81-BD00-E79681E1CFF4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64" name="CuadroTexto 63">
          <a:extLst>
            <a:ext uri="{FF2B5EF4-FFF2-40B4-BE49-F238E27FC236}">
              <a16:creationId xmlns:a16="http://schemas.microsoft.com/office/drawing/2014/main" id="{A9926711-FEB2-4104-8F81-68A8928B126E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65" name="Cerrar llave 64">
          <a:extLst>
            <a:ext uri="{FF2B5EF4-FFF2-40B4-BE49-F238E27FC236}">
              <a16:creationId xmlns:a16="http://schemas.microsoft.com/office/drawing/2014/main" id="{818B1FF9-1BAD-41F4-8B3D-960299228176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id="{D57197BA-71A7-4E69-8B76-838442EE6563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67" name="Cerrar llave 66">
          <a:extLst>
            <a:ext uri="{FF2B5EF4-FFF2-40B4-BE49-F238E27FC236}">
              <a16:creationId xmlns:a16="http://schemas.microsoft.com/office/drawing/2014/main" id="{2BD3BB63-85EF-45BB-BEA0-4EC54E996700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68" name="CuadroTexto 67">
          <a:extLst>
            <a:ext uri="{FF2B5EF4-FFF2-40B4-BE49-F238E27FC236}">
              <a16:creationId xmlns:a16="http://schemas.microsoft.com/office/drawing/2014/main" id="{805BEC72-1B38-4A83-ACDA-3D5AFD9F7655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69" name="Cerrar llave 68">
          <a:extLst>
            <a:ext uri="{FF2B5EF4-FFF2-40B4-BE49-F238E27FC236}">
              <a16:creationId xmlns:a16="http://schemas.microsoft.com/office/drawing/2014/main" id="{C9332785-05F3-4F39-89D7-C1F6CD8B0C3E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70" name="CuadroTexto 69">
          <a:extLst>
            <a:ext uri="{FF2B5EF4-FFF2-40B4-BE49-F238E27FC236}">
              <a16:creationId xmlns:a16="http://schemas.microsoft.com/office/drawing/2014/main" id="{B09C69A0-6993-453B-88EB-3EC667D9A9C3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71" name="Cerrar llave 70">
          <a:extLst>
            <a:ext uri="{FF2B5EF4-FFF2-40B4-BE49-F238E27FC236}">
              <a16:creationId xmlns:a16="http://schemas.microsoft.com/office/drawing/2014/main" id="{F2799B39-CE37-4036-BD10-2F1ADB79E63E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72" name="CuadroTexto 71">
          <a:extLst>
            <a:ext uri="{FF2B5EF4-FFF2-40B4-BE49-F238E27FC236}">
              <a16:creationId xmlns:a16="http://schemas.microsoft.com/office/drawing/2014/main" id="{287588C9-8700-4F1E-A013-48103DCA08AE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119</xdr:row>
      <xdr:rowOff>0</xdr:rowOff>
    </xdr:to>
    <xdr:sp macro="" textlink="">
      <xdr:nvSpPr>
        <xdr:cNvPr id="73" name="Cerrar llave 72">
          <a:extLst>
            <a:ext uri="{FF2B5EF4-FFF2-40B4-BE49-F238E27FC236}">
              <a16:creationId xmlns:a16="http://schemas.microsoft.com/office/drawing/2014/main" id="{DDD8CE49-4A8D-4046-98D0-39F8289399DE}"/>
            </a:ext>
          </a:extLst>
        </xdr:cNvPr>
        <xdr:cNvSpPr/>
      </xdr:nvSpPr>
      <xdr:spPr>
        <a:xfrm>
          <a:off x="129302061" y="145837275"/>
          <a:ext cx="0" cy="28765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118</xdr:row>
      <xdr:rowOff>1607068</xdr:rowOff>
    </xdr:to>
    <xdr:sp macro="" textlink="">
      <xdr:nvSpPr>
        <xdr:cNvPr id="74" name="CuadroTexto 73">
          <a:extLst>
            <a:ext uri="{FF2B5EF4-FFF2-40B4-BE49-F238E27FC236}">
              <a16:creationId xmlns:a16="http://schemas.microsoft.com/office/drawing/2014/main" id="{28680E41-E20A-49D5-B8F5-DD6F20753F17}"/>
            </a:ext>
          </a:extLst>
        </xdr:cNvPr>
        <xdr:cNvSpPr txBox="1"/>
      </xdr:nvSpPr>
      <xdr:spPr>
        <a:xfrm>
          <a:off x="129303526" y="145837275"/>
          <a:ext cx="30" cy="287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75" name="Cerrar llave 74">
          <a:extLst>
            <a:ext uri="{FF2B5EF4-FFF2-40B4-BE49-F238E27FC236}">
              <a16:creationId xmlns:a16="http://schemas.microsoft.com/office/drawing/2014/main" id="{A73B9CD1-4394-4D84-92CE-C94337868278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76" name="CuadroTexto 75">
          <a:extLst>
            <a:ext uri="{FF2B5EF4-FFF2-40B4-BE49-F238E27FC236}">
              <a16:creationId xmlns:a16="http://schemas.microsoft.com/office/drawing/2014/main" id="{56E6609C-2C0F-4842-8EDB-2787D4D1BF9A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77" name="Cerrar llave 76">
          <a:extLst>
            <a:ext uri="{FF2B5EF4-FFF2-40B4-BE49-F238E27FC236}">
              <a16:creationId xmlns:a16="http://schemas.microsoft.com/office/drawing/2014/main" id="{40C9BDC0-5EF0-483B-9D76-1FF08BE36989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78" name="CuadroTexto 77">
          <a:extLst>
            <a:ext uri="{FF2B5EF4-FFF2-40B4-BE49-F238E27FC236}">
              <a16:creationId xmlns:a16="http://schemas.microsoft.com/office/drawing/2014/main" id="{0843D956-1792-45EC-999E-0CCAFD8EB520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79" name="Cerrar llave 78">
          <a:extLst>
            <a:ext uri="{FF2B5EF4-FFF2-40B4-BE49-F238E27FC236}">
              <a16:creationId xmlns:a16="http://schemas.microsoft.com/office/drawing/2014/main" id="{D3A32027-17F1-4537-91F8-FFEE5124B24A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80" name="CuadroTexto 79">
          <a:extLst>
            <a:ext uri="{FF2B5EF4-FFF2-40B4-BE49-F238E27FC236}">
              <a16:creationId xmlns:a16="http://schemas.microsoft.com/office/drawing/2014/main" id="{DEFBF9AE-23A4-4550-BC44-8164A806CB41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81" name="Cerrar llave 80">
          <a:extLst>
            <a:ext uri="{FF2B5EF4-FFF2-40B4-BE49-F238E27FC236}">
              <a16:creationId xmlns:a16="http://schemas.microsoft.com/office/drawing/2014/main" id="{BFD07CBF-63BA-47AA-976F-E967632A3BDF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82" name="CuadroTexto 81">
          <a:extLst>
            <a:ext uri="{FF2B5EF4-FFF2-40B4-BE49-F238E27FC236}">
              <a16:creationId xmlns:a16="http://schemas.microsoft.com/office/drawing/2014/main" id="{0B38EB9C-8C3F-4B0C-9F95-670B82862CB6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83" name="Cerrar llave 82">
          <a:extLst>
            <a:ext uri="{FF2B5EF4-FFF2-40B4-BE49-F238E27FC236}">
              <a16:creationId xmlns:a16="http://schemas.microsoft.com/office/drawing/2014/main" id="{E0716167-A374-488E-A4AB-8FD50DFA37AE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84" name="CuadroTexto 83">
          <a:extLst>
            <a:ext uri="{FF2B5EF4-FFF2-40B4-BE49-F238E27FC236}">
              <a16:creationId xmlns:a16="http://schemas.microsoft.com/office/drawing/2014/main" id="{2D67EE69-75F0-486C-A603-E6BFA172F7E7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1500"/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85" name="Cerrar llave 84">
          <a:extLst>
            <a:ext uri="{FF2B5EF4-FFF2-40B4-BE49-F238E27FC236}">
              <a16:creationId xmlns:a16="http://schemas.microsoft.com/office/drawing/2014/main" id="{A88B143B-FC4B-413E-BFA4-241DBD2D2F9D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86" name="CuadroTexto 85">
          <a:extLst>
            <a:ext uri="{FF2B5EF4-FFF2-40B4-BE49-F238E27FC236}">
              <a16:creationId xmlns:a16="http://schemas.microsoft.com/office/drawing/2014/main" id="{6A7F48C1-3D1D-4024-A665-95B7BA133882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1500"/>
        </a:p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131</xdr:row>
      <xdr:rowOff>0</xdr:rowOff>
    </xdr:to>
    <xdr:sp macro="" textlink="">
      <xdr:nvSpPr>
        <xdr:cNvPr id="87" name="Cerrar llave 86">
          <a:extLst>
            <a:ext uri="{FF2B5EF4-FFF2-40B4-BE49-F238E27FC236}">
              <a16:creationId xmlns:a16="http://schemas.microsoft.com/office/drawing/2014/main" id="{A7597288-9557-4DD0-87C2-3D6824C3D96A}"/>
            </a:ext>
          </a:extLst>
        </xdr:cNvPr>
        <xdr:cNvSpPr/>
      </xdr:nvSpPr>
      <xdr:spPr>
        <a:xfrm>
          <a:off x="129302061" y="145837275"/>
          <a:ext cx="0" cy="143827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130</xdr:row>
      <xdr:rowOff>1607068</xdr:rowOff>
    </xdr:to>
    <xdr:sp macro="" textlink="">
      <xdr:nvSpPr>
        <xdr:cNvPr id="88" name="CuadroTexto 87">
          <a:extLst>
            <a:ext uri="{FF2B5EF4-FFF2-40B4-BE49-F238E27FC236}">
              <a16:creationId xmlns:a16="http://schemas.microsoft.com/office/drawing/2014/main" id="{0C3BA93A-038E-4E6D-B271-687CB82580AD}"/>
            </a:ext>
          </a:extLst>
        </xdr:cNvPr>
        <xdr:cNvSpPr txBox="1"/>
      </xdr:nvSpPr>
      <xdr:spPr>
        <a:xfrm>
          <a:off x="129303526" y="145837275"/>
          <a:ext cx="30" cy="1438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131</xdr:row>
      <xdr:rowOff>0</xdr:rowOff>
    </xdr:to>
    <xdr:sp macro="" textlink="">
      <xdr:nvSpPr>
        <xdr:cNvPr id="89" name="Cerrar llave 88">
          <a:extLst>
            <a:ext uri="{FF2B5EF4-FFF2-40B4-BE49-F238E27FC236}">
              <a16:creationId xmlns:a16="http://schemas.microsoft.com/office/drawing/2014/main" id="{E89764D0-F632-49F3-B234-30E23FF42484}"/>
            </a:ext>
          </a:extLst>
        </xdr:cNvPr>
        <xdr:cNvSpPr/>
      </xdr:nvSpPr>
      <xdr:spPr>
        <a:xfrm>
          <a:off x="129302061" y="145837275"/>
          <a:ext cx="0" cy="143827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130</xdr:row>
      <xdr:rowOff>1607068</xdr:rowOff>
    </xdr:to>
    <xdr:sp macro="" textlink="">
      <xdr:nvSpPr>
        <xdr:cNvPr id="90" name="CuadroTexto 89">
          <a:extLst>
            <a:ext uri="{FF2B5EF4-FFF2-40B4-BE49-F238E27FC236}">
              <a16:creationId xmlns:a16="http://schemas.microsoft.com/office/drawing/2014/main" id="{724AA77C-29DF-4937-8EC2-18A52413526D}"/>
            </a:ext>
          </a:extLst>
        </xdr:cNvPr>
        <xdr:cNvSpPr txBox="1"/>
      </xdr:nvSpPr>
      <xdr:spPr>
        <a:xfrm>
          <a:off x="129303526" y="145837275"/>
          <a:ext cx="30" cy="1438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131</xdr:row>
      <xdr:rowOff>0</xdr:rowOff>
    </xdr:to>
    <xdr:sp macro="" textlink="">
      <xdr:nvSpPr>
        <xdr:cNvPr id="91" name="Cerrar llave 90">
          <a:extLst>
            <a:ext uri="{FF2B5EF4-FFF2-40B4-BE49-F238E27FC236}">
              <a16:creationId xmlns:a16="http://schemas.microsoft.com/office/drawing/2014/main" id="{EB652B94-33DC-4E59-BDD5-CD177E1833CB}"/>
            </a:ext>
          </a:extLst>
        </xdr:cNvPr>
        <xdr:cNvSpPr/>
      </xdr:nvSpPr>
      <xdr:spPr>
        <a:xfrm>
          <a:off x="129302061" y="145837275"/>
          <a:ext cx="0" cy="143827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130</xdr:row>
      <xdr:rowOff>1607068</xdr:rowOff>
    </xdr:to>
    <xdr:sp macro="" textlink="">
      <xdr:nvSpPr>
        <xdr:cNvPr id="92" name="CuadroTexto 91">
          <a:extLst>
            <a:ext uri="{FF2B5EF4-FFF2-40B4-BE49-F238E27FC236}">
              <a16:creationId xmlns:a16="http://schemas.microsoft.com/office/drawing/2014/main" id="{298DA25B-8B67-4DA7-BFE0-75499D85F1AF}"/>
            </a:ext>
          </a:extLst>
        </xdr:cNvPr>
        <xdr:cNvSpPr txBox="1"/>
      </xdr:nvSpPr>
      <xdr:spPr>
        <a:xfrm>
          <a:off x="129303526" y="145837275"/>
          <a:ext cx="30" cy="1438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131</xdr:row>
      <xdr:rowOff>0</xdr:rowOff>
    </xdr:to>
    <xdr:sp macro="" textlink="">
      <xdr:nvSpPr>
        <xdr:cNvPr id="93" name="Cerrar llave 92">
          <a:extLst>
            <a:ext uri="{FF2B5EF4-FFF2-40B4-BE49-F238E27FC236}">
              <a16:creationId xmlns:a16="http://schemas.microsoft.com/office/drawing/2014/main" id="{67C43C2D-41BF-45A0-9B0C-FB767B906046}"/>
            </a:ext>
          </a:extLst>
        </xdr:cNvPr>
        <xdr:cNvSpPr/>
      </xdr:nvSpPr>
      <xdr:spPr>
        <a:xfrm>
          <a:off x="129302061" y="145837275"/>
          <a:ext cx="0" cy="143827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130</xdr:row>
      <xdr:rowOff>1607068</xdr:rowOff>
    </xdr:to>
    <xdr:sp macro="" textlink="">
      <xdr:nvSpPr>
        <xdr:cNvPr id="94" name="CuadroTexto 93">
          <a:extLst>
            <a:ext uri="{FF2B5EF4-FFF2-40B4-BE49-F238E27FC236}">
              <a16:creationId xmlns:a16="http://schemas.microsoft.com/office/drawing/2014/main" id="{D9241B26-8617-4667-8890-866B1C9AEF1D}"/>
            </a:ext>
          </a:extLst>
        </xdr:cNvPr>
        <xdr:cNvSpPr txBox="1"/>
      </xdr:nvSpPr>
      <xdr:spPr>
        <a:xfrm>
          <a:off x="129303526" y="145837275"/>
          <a:ext cx="30" cy="1438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131</xdr:row>
      <xdr:rowOff>0</xdr:rowOff>
    </xdr:to>
    <xdr:sp macro="" textlink="">
      <xdr:nvSpPr>
        <xdr:cNvPr id="95" name="Cerrar llave 94">
          <a:extLst>
            <a:ext uri="{FF2B5EF4-FFF2-40B4-BE49-F238E27FC236}">
              <a16:creationId xmlns:a16="http://schemas.microsoft.com/office/drawing/2014/main" id="{623C184D-4D93-4D52-8014-FC31E05F9D3E}"/>
            </a:ext>
          </a:extLst>
        </xdr:cNvPr>
        <xdr:cNvSpPr/>
      </xdr:nvSpPr>
      <xdr:spPr>
        <a:xfrm>
          <a:off x="129302061" y="145837275"/>
          <a:ext cx="0" cy="143827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130</xdr:row>
      <xdr:rowOff>1607068</xdr:rowOff>
    </xdr:to>
    <xdr:sp macro="" textlink="">
      <xdr:nvSpPr>
        <xdr:cNvPr id="96" name="CuadroTexto 95">
          <a:extLst>
            <a:ext uri="{FF2B5EF4-FFF2-40B4-BE49-F238E27FC236}">
              <a16:creationId xmlns:a16="http://schemas.microsoft.com/office/drawing/2014/main" id="{7F9695FB-CF1C-40E7-A513-09910F6D1B3C}"/>
            </a:ext>
          </a:extLst>
        </xdr:cNvPr>
        <xdr:cNvSpPr txBox="1"/>
      </xdr:nvSpPr>
      <xdr:spPr>
        <a:xfrm>
          <a:off x="129303526" y="145837275"/>
          <a:ext cx="30" cy="1438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131</xdr:row>
      <xdr:rowOff>0</xdr:rowOff>
    </xdr:to>
    <xdr:sp macro="" textlink="">
      <xdr:nvSpPr>
        <xdr:cNvPr id="97" name="Cerrar llave 96">
          <a:extLst>
            <a:ext uri="{FF2B5EF4-FFF2-40B4-BE49-F238E27FC236}">
              <a16:creationId xmlns:a16="http://schemas.microsoft.com/office/drawing/2014/main" id="{6D237E49-2C4C-42F0-93DB-637E2670764C}"/>
            </a:ext>
          </a:extLst>
        </xdr:cNvPr>
        <xdr:cNvSpPr/>
      </xdr:nvSpPr>
      <xdr:spPr>
        <a:xfrm>
          <a:off x="129302061" y="145837275"/>
          <a:ext cx="0" cy="143827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130</xdr:row>
      <xdr:rowOff>1607068</xdr:rowOff>
    </xdr:to>
    <xdr:sp macro="" textlink="">
      <xdr:nvSpPr>
        <xdr:cNvPr id="98" name="CuadroTexto 97">
          <a:extLst>
            <a:ext uri="{FF2B5EF4-FFF2-40B4-BE49-F238E27FC236}">
              <a16:creationId xmlns:a16="http://schemas.microsoft.com/office/drawing/2014/main" id="{1A4FB6ED-A07E-4EAC-BD61-84B16A12BAD1}"/>
            </a:ext>
          </a:extLst>
        </xdr:cNvPr>
        <xdr:cNvSpPr txBox="1"/>
      </xdr:nvSpPr>
      <xdr:spPr>
        <a:xfrm>
          <a:off x="129303526" y="145837275"/>
          <a:ext cx="30" cy="1438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131</xdr:row>
      <xdr:rowOff>0</xdr:rowOff>
    </xdr:to>
    <xdr:sp macro="" textlink="">
      <xdr:nvSpPr>
        <xdr:cNvPr id="99" name="Cerrar llave 98">
          <a:extLst>
            <a:ext uri="{FF2B5EF4-FFF2-40B4-BE49-F238E27FC236}">
              <a16:creationId xmlns:a16="http://schemas.microsoft.com/office/drawing/2014/main" id="{5C46370C-9FD0-4C41-8517-4441ABF712B7}"/>
            </a:ext>
          </a:extLst>
        </xdr:cNvPr>
        <xdr:cNvSpPr/>
      </xdr:nvSpPr>
      <xdr:spPr>
        <a:xfrm>
          <a:off x="129302061" y="145837275"/>
          <a:ext cx="0" cy="143827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130</xdr:row>
      <xdr:rowOff>1607068</xdr:rowOff>
    </xdr:to>
    <xdr:sp macro="" textlink="">
      <xdr:nvSpPr>
        <xdr:cNvPr id="100" name="CuadroTexto 99">
          <a:extLst>
            <a:ext uri="{FF2B5EF4-FFF2-40B4-BE49-F238E27FC236}">
              <a16:creationId xmlns:a16="http://schemas.microsoft.com/office/drawing/2014/main" id="{F444E9C5-C3E9-4998-A3AB-4459E5BDDDDE}"/>
            </a:ext>
          </a:extLst>
        </xdr:cNvPr>
        <xdr:cNvSpPr txBox="1"/>
      </xdr:nvSpPr>
      <xdr:spPr>
        <a:xfrm>
          <a:off x="129303526" y="145837275"/>
          <a:ext cx="30" cy="1438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131</xdr:row>
      <xdr:rowOff>0</xdr:rowOff>
    </xdr:to>
    <xdr:sp macro="" textlink="">
      <xdr:nvSpPr>
        <xdr:cNvPr id="101" name="Cerrar llave 100">
          <a:extLst>
            <a:ext uri="{FF2B5EF4-FFF2-40B4-BE49-F238E27FC236}">
              <a16:creationId xmlns:a16="http://schemas.microsoft.com/office/drawing/2014/main" id="{E4172B3A-80A6-4B3A-80D0-2EBE423575C8}"/>
            </a:ext>
          </a:extLst>
        </xdr:cNvPr>
        <xdr:cNvSpPr/>
      </xdr:nvSpPr>
      <xdr:spPr>
        <a:xfrm>
          <a:off x="129302061" y="145837275"/>
          <a:ext cx="0" cy="143827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130</xdr:row>
      <xdr:rowOff>1607068</xdr:rowOff>
    </xdr:to>
    <xdr:sp macro="" textlink="">
      <xdr:nvSpPr>
        <xdr:cNvPr id="102" name="CuadroTexto 101">
          <a:extLst>
            <a:ext uri="{FF2B5EF4-FFF2-40B4-BE49-F238E27FC236}">
              <a16:creationId xmlns:a16="http://schemas.microsoft.com/office/drawing/2014/main" id="{8A9614EA-C62C-4105-AA98-E271C9A298C0}"/>
            </a:ext>
          </a:extLst>
        </xdr:cNvPr>
        <xdr:cNvSpPr txBox="1"/>
      </xdr:nvSpPr>
      <xdr:spPr>
        <a:xfrm>
          <a:off x="129303526" y="145837275"/>
          <a:ext cx="30" cy="1438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131</xdr:row>
      <xdr:rowOff>0</xdr:rowOff>
    </xdr:to>
    <xdr:sp macro="" textlink="">
      <xdr:nvSpPr>
        <xdr:cNvPr id="103" name="Cerrar llave 102">
          <a:extLst>
            <a:ext uri="{FF2B5EF4-FFF2-40B4-BE49-F238E27FC236}">
              <a16:creationId xmlns:a16="http://schemas.microsoft.com/office/drawing/2014/main" id="{0391B03D-C6EB-478C-8DED-B8CC95B0A669}"/>
            </a:ext>
          </a:extLst>
        </xdr:cNvPr>
        <xdr:cNvSpPr/>
      </xdr:nvSpPr>
      <xdr:spPr>
        <a:xfrm>
          <a:off x="129302061" y="145837275"/>
          <a:ext cx="0" cy="143827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130</xdr:row>
      <xdr:rowOff>1607068</xdr:rowOff>
    </xdr:to>
    <xdr:sp macro="" textlink="">
      <xdr:nvSpPr>
        <xdr:cNvPr id="104" name="CuadroTexto 103">
          <a:extLst>
            <a:ext uri="{FF2B5EF4-FFF2-40B4-BE49-F238E27FC236}">
              <a16:creationId xmlns:a16="http://schemas.microsoft.com/office/drawing/2014/main" id="{B2AAE1CB-2F5D-4D4A-AF35-93DD8CB406D1}"/>
            </a:ext>
          </a:extLst>
        </xdr:cNvPr>
        <xdr:cNvSpPr txBox="1"/>
      </xdr:nvSpPr>
      <xdr:spPr>
        <a:xfrm>
          <a:off x="129303526" y="145837275"/>
          <a:ext cx="30" cy="1438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131</xdr:row>
      <xdr:rowOff>0</xdr:rowOff>
    </xdr:to>
    <xdr:sp macro="" textlink="">
      <xdr:nvSpPr>
        <xdr:cNvPr id="105" name="Cerrar llave 104">
          <a:extLst>
            <a:ext uri="{FF2B5EF4-FFF2-40B4-BE49-F238E27FC236}">
              <a16:creationId xmlns:a16="http://schemas.microsoft.com/office/drawing/2014/main" id="{448C46EB-E1F8-400E-8462-F9608B43D625}"/>
            </a:ext>
          </a:extLst>
        </xdr:cNvPr>
        <xdr:cNvSpPr/>
      </xdr:nvSpPr>
      <xdr:spPr>
        <a:xfrm>
          <a:off x="129302061" y="145837275"/>
          <a:ext cx="0" cy="143827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130</xdr:row>
      <xdr:rowOff>1607068</xdr:rowOff>
    </xdr:to>
    <xdr:sp macro="" textlink="">
      <xdr:nvSpPr>
        <xdr:cNvPr id="106" name="CuadroTexto 105">
          <a:extLst>
            <a:ext uri="{FF2B5EF4-FFF2-40B4-BE49-F238E27FC236}">
              <a16:creationId xmlns:a16="http://schemas.microsoft.com/office/drawing/2014/main" id="{207DE3DC-B792-4857-8F4B-1A0963F34B77}"/>
            </a:ext>
          </a:extLst>
        </xdr:cNvPr>
        <xdr:cNvSpPr txBox="1"/>
      </xdr:nvSpPr>
      <xdr:spPr>
        <a:xfrm>
          <a:off x="129303526" y="145837275"/>
          <a:ext cx="30" cy="1438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131</xdr:row>
      <xdr:rowOff>0</xdr:rowOff>
    </xdr:to>
    <xdr:sp macro="" textlink="">
      <xdr:nvSpPr>
        <xdr:cNvPr id="107" name="Cerrar llave 106">
          <a:extLst>
            <a:ext uri="{FF2B5EF4-FFF2-40B4-BE49-F238E27FC236}">
              <a16:creationId xmlns:a16="http://schemas.microsoft.com/office/drawing/2014/main" id="{112616A2-13C4-48E8-A86B-C1EEEBB3DE41}"/>
            </a:ext>
          </a:extLst>
        </xdr:cNvPr>
        <xdr:cNvSpPr/>
      </xdr:nvSpPr>
      <xdr:spPr>
        <a:xfrm>
          <a:off x="129302061" y="145837275"/>
          <a:ext cx="0" cy="143827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130</xdr:row>
      <xdr:rowOff>1607068</xdr:rowOff>
    </xdr:to>
    <xdr:sp macro="" textlink="">
      <xdr:nvSpPr>
        <xdr:cNvPr id="108" name="CuadroTexto 107">
          <a:extLst>
            <a:ext uri="{FF2B5EF4-FFF2-40B4-BE49-F238E27FC236}">
              <a16:creationId xmlns:a16="http://schemas.microsoft.com/office/drawing/2014/main" id="{9BCC5C45-F530-43E9-9857-3CE7725EEC00}"/>
            </a:ext>
          </a:extLst>
        </xdr:cNvPr>
        <xdr:cNvSpPr txBox="1"/>
      </xdr:nvSpPr>
      <xdr:spPr>
        <a:xfrm>
          <a:off x="129303526" y="145837275"/>
          <a:ext cx="30" cy="1438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113</xdr:row>
      <xdr:rowOff>513602</xdr:rowOff>
    </xdr:from>
    <xdr:to>
      <xdr:col>26</xdr:col>
      <xdr:colOff>14721728</xdr:colOff>
      <xdr:row>131</xdr:row>
      <xdr:rowOff>0</xdr:rowOff>
    </xdr:to>
    <xdr:sp macro="" textlink="">
      <xdr:nvSpPr>
        <xdr:cNvPr id="109" name="Cerrar llave 108">
          <a:extLst>
            <a:ext uri="{FF2B5EF4-FFF2-40B4-BE49-F238E27FC236}">
              <a16:creationId xmlns:a16="http://schemas.microsoft.com/office/drawing/2014/main" id="{450258D2-E81D-48C1-B6BA-D6F8F6F7151C}"/>
            </a:ext>
          </a:extLst>
        </xdr:cNvPr>
        <xdr:cNvSpPr/>
      </xdr:nvSpPr>
      <xdr:spPr>
        <a:xfrm>
          <a:off x="129302061" y="145837275"/>
          <a:ext cx="0" cy="143827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113</xdr:row>
      <xdr:rowOff>1801435</xdr:rowOff>
    </xdr:from>
    <xdr:to>
      <xdr:col>26</xdr:col>
      <xdr:colOff>16584706</xdr:colOff>
      <xdr:row>130</xdr:row>
      <xdr:rowOff>1607068</xdr:rowOff>
    </xdr:to>
    <xdr:sp macro="" textlink="">
      <xdr:nvSpPr>
        <xdr:cNvPr id="110" name="CuadroTexto 109">
          <a:extLst>
            <a:ext uri="{FF2B5EF4-FFF2-40B4-BE49-F238E27FC236}">
              <a16:creationId xmlns:a16="http://schemas.microsoft.com/office/drawing/2014/main" id="{58DD8074-F881-4D88-B035-E65F6754DC48}"/>
            </a:ext>
          </a:extLst>
        </xdr:cNvPr>
        <xdr:cNvSpPr txBox="1"/>
      </xdr:nvSpPr>
      <xdr:spPr>
        <a:xfrm>
          <a:off x="129303526" y="145837275"/>
          <a:ext cx="30" cy="1438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111" name="Cerrar llave 110">
          <a:extLst>
            <a:ext uri="{FF2B5EF4-FFF2-40B4-BE49-F238E27FC236}">
              <a16:creationId xmlns:a16="http://schemas.microsoft.com/office/drawing/2014/main" id="{6DC2C9DA-C36F-43E8-A456-3DA90FBA209B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112" name="CuadroTexto 111">
          <a:extLst>
            <a:ext uri="{FF2B5EF4-FFF2-40B4-BE49-F238E27FC236}">
              <a16:creationId xmlns:a16="http://schemas.microsoft.com/office/drawing/2014/main" id="{067B9742-9A4D-4B54-9657-37EF9A6BDD22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113" name="Cerrar llave 112">
          <a:extLst>
            <a:ext uri="{FF2B5EF4-FFF2-40B4-BE49-F238E27FC236}">
              <a16:creationId xmlns:a16="http://schemas.microsoft.com/office/drawing/2014/main" id="{64AFF97F-600C-42AA-9922-1F5EDD2EBA28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114" name="CuadroTexto 113">
          <a:extLst>
            <a:ext uri="{FF2B5EF4-FFF2-40B4-BE49-F238E27FC236}">
              <a16:creationId xmlns:a16="http://schemas.microsoft.com/office/drawing/2014/main" id="{63646AB0-C611-4604-9A42-9B1E6E341473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115" name="Cerrar llave 114">
          <a:extLst>
            <a:ext uri="{FF2B5EF4-FFF2-40B4-BE49-F238E27FC236}">
              <a16:creationId xmlns:a16="http://schemas.microsoft.com/office/drawing/2014/main" id="{AEC70087-8FB2-4DF9-BF7B-E4AE00C53764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116" name="CuadroTexto 115">
          <a:extLst>
            <a:ext uri="{FF2B5EF4-FFF2-40B4-BE49-F238E27FC236}">
              <a16:creationId xmlns:a16="http://schemas.microsoft.com/office/drawing/2014/main" id="{D9CCB688-C65E-4D89-9A42-79DD5FB0C61A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117" name="Cerrar llave 116">
          <a:extLst>
            <a:ext uri="{FF2B5EF4-FFF2-40B4-BE49-F238E27FC236}">
              <a16:creationId xmlns:a16="http://schemas.microsoft.com/office/drawing/2014/main" id="{AF0F593D-1835-4115-8FD5-37AE1340BEDC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118" name="CuadroTexto 117">
          <a:extLst>
            <a:ext uri="{FF2B5EF4-FFF2-40B4-BE49-F238E27FC236}">
              <a16:creationId xmlns:a16="http://schemas.microsoft.com/office/drawing/2014/main" id="{6A0F38A0-EDD3-441C-A258-0420E927A4AC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119" name="Cerrar llave 118">
          <a:extLst>
            <a:ext uri="{FF2B5EF4-FFF2-40B4-BE49-F238E27FC236}">
              <a16:creationId xmlns:a16="http://schemas.microsoft.com/office/drawing/2014/main" id="{3A4CEE40-D931-46FC-BA09-D989FC9080EC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120" name="CuadroTexto 119">
          <a:extLst>
            <a:ext uri="{FF2B5EF4-FFF2-40B4-BE49-F238E27FC236}">
              <a16:creationId xmlns:a16="http://schemas.microsoft.com/office/drawing/2014/main" id="{DD84B3AE-73FB-4597-ADF0-B69DDA3B07F8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1500"/>
        </a:p>
      </xdr:txBody>
    </xdr:sp>
    <xdr:clientData/>
  </xdr:twoCellAnchor>
  <xdr:twoCellAnchor>
    <xdr:from>
      <xdr:col>26</xdr:col>
      <xdr:colOff>14040036</xdr:colOff>
      <xdr:row>92</xdr:row>
      <xdr:rowOff>513602</xdr:rowOff>
    </xdr:from>
    <xdr:to>
      <xdr:col>26</xdr:col>
      <xdr:colOff>14721728</xdr:colOff>
      <xdr:row>94</xdr:row>
      <xdr:rowOff>0</xdr:rowOff>
    </xdr:to>
    <xdr:sp macro="" textlink="">
      <xdr:nvSpPr>
        <xdr:cNvPr id="121" name="Cerrar llave 120">
          <a:extLst>
            <a:ext uri="{FF2B5EF4-FFF2-40B4-BE49-F238E27FC236}">
              <a16:creationId xmlns:a16="http://schemas.microsoft.com/office/drawing/2014/main" id="{13E242E1-600F-4360-A15C-73C046B22460}"/>
            </a:ext>
          </a:extLst>
        </xdr:cNvPr>
        <xdr:cNvSpPr/>
      </xdr:nvSpPr>
      <xdr:spPr>
        <a:xfrm>
          <a:off x="129302061" y="126577725"/>
          <a:ext cx="0" cy="1476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92</xdr:row>
      <xdr:rowOff>1801435</xdr:rowOff>
    </xdr:from>
    <xdr:to>
      <xdr:col>26</xdr:col>
      <xdr:colOff>16584706</xdr:colOff>
      <xdr:row>93</xdr:row>
      <xdr:rowOff>1607068</xdr:rowOff>
    </xdr:to>
    <xdr:sp macro="" textlink="">
      <xdr:nvSpPr>
        <xdr:cNvPr id="122" name="CuadroTexto 121">
          <a:extLst>
            <a:ext uri="{FF2B5EF4-FFF2-40B4-BE49-F238E27FC236}">
              <a16:creationId xmlns:a16="http://schemas.microsoft.com/office/drawing/2014/main" id="{4C1C2710-1B28-45A2-8810-BC0726A12147}"/>
            </a:ext>
          </a:extLst>
        </xdr:cNvPr>
        <xdr:cNvSpPr txBox="1"/>
      </xdr:nvSpPr>
      <xdr:spPr>
        <a:xfrm>
          <a:off x="129303526" y="126577725"/>
          <a:ext cx="30" cy="14737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O" sz="11500"/>
        </a:p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125</xdr:row>
      <xdr:rowOff>513602</xdr:rowOff>
    </xdr:from>
    <xdr:to>
      <xdr:col>26</xdr:col>
      <xdr:colOff>14721728</xdr:colOff>
      <xdr:row>126</xdr:row>
      <xdr:rowOff>0</xdr:rowOff>
    </xdr:to>
    <xdr:sp macro="" textlink="">
      <xdr:nvSpPr>
        <xdr:cNvPr id="123" name="Cerrar llave 122">
          <a:extLst>
            <a:ext uri="{FF2B5EF4-FFF2-40B4-BE49-F238E27FC236}">
              <a16:creationId xmlns:a16="http://schemas.microsoft.com/office/drawing/2014/main" id="{EB56D102-768F-43D4-BEED-88E48633F676}"/>
            </a:ext>
          </a:extLst>
        </xdr:cNvPr>
        <xdr:cNvSpPr/>
      </xdr:nvSpPr>
      <xdr:spPr>
        <a:xfrm>
          <a:off x="129302061" y="157343475"/>
          <a:ext cx="0" cy="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125</xdr:row>
      <xdr:rowOff>1801435</xdr:rowOff>
    </xdr:from>
    <xdr:to>
      <xdr:col>26</xdr:col>
      <xdr:colOff>16584706</xdr:colOff>
      <xdr:row>126</xdr:row>
      <xdr:rowOff>0</xdr:rowOff>
    </xdr:to>
    <xdr:sp macro="" textlink="">
      <xdr:nvSpPr>
        <xdr:cNvPr id="124" name="CuadroTexto 123">
          <a:extLst>
            <a:ext uri="{FF2B5EF4-FFF2-40B4-BE49-F238E27FC236}">
              <a16:creationId xmlns:a16="http://schemas.microsoft.com/office/drawing/2014/main" id="{4F2DC009-0925-41E4-B44C-5D6181A15A87}"/>
            </a:ext>
          </a:extLst>
        </xdr:cNvPr>
        <xdr:cNvSpPr txBox="1"/>
      </xdr:nvSpPr>
      <xdr:spPr>
        <a:xfrm>
          <a:off x="129303526" y="15734347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125</xdr:row>
      <xdr:rowOff>513602</xdr:rowOff>
    </xdr:from>
    <xdr:to>
      <xdr:col>26</xdr:col>
      <xdr:colOff>14721728</xdr:colOff>
      <xdr:row>126</xdr:row>
      <xdr:rowOff>0</xdr:rowOff>
    </xdr:to>
    <xdr:sp macro="" textlink="">
      <xdr:nvSpPr>
        <xdr:cNvPr id="125" name="Cerrar llave 124">
          <a:extLst>
            <a:ext uri="{FF2B5EF4-FFF2-40B4-BE49-F238E27FC236}">
              <a16:creationId xmlns:a16="http://schemas.microsoft.com/office/drawing/2014/main" id="{00A61901-AB42-4D1D-B341-3A4925DD5F42}"/>
            </a:ext>
          </a:extLst>
        </xdr:cNvPr>
        <xdr:cNvSpPr/>
      </xdr:nvSpPr>
      <xdr:spPr>
        <a:xfrm>
          <a:off x="129302061" y="157343475"/>
          <a:ext cx="0" cy="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125</xdr:row>
      <xdr:rowOff>1801435</xdr:rowOff>
    </xdr:from>
    <xdr:to>
      <xdr:col>26</xdr:col>
      <xdr:colOff>16584706</xdr:colOff>
      <xdr:row>126</xdr:row>
      <xdr:rowOff>0</xdr:rowOff>
    </xdr:to>
    <xdr:sp macro="" textlink="">
      <xdr:nvSpPr>
        <xdr:cNvPr id="126" name="CuadroTexto 125">
          <a:extLst>
            <a:ext uri="{FF2B5EF4-FFF2-40B4-BE49-F238E27FC236}">
              <a16:creationId xmlns:a16="http://schemas.microsoft.com/office/drawing/2014/main" id="{9AE617F9-39F8-4C5C-820A-ED2FD5391175}"/>
            </a:ext>
          </a:extLst>
        </xdr:cNvPr>
        <xdr:cNvSpPr txBox="1"/>
      </xdr:nvSpPr>
      <xdr:spPr>
        <a:xfrm>
          <a:off x="129303526" y="15734347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125</xdr:row>
      <xdr:rowOff>513602</xdr:rowOff>
    </xdr:from>
    <xdr:to>
      <xdr:col>26</xdr:col>
      <xdr:colOff>14721728</xdr:colOff>
      <xdr:row>126</xdr:row>
      <xdr:rowOff>0</xdr:rowOff>
    </xdr:to>
    <xdr:sp macro="" textlink="">
      <xdr:nvSpPr>
        <xdr:cNvPr id="127" name="Cerrar llave 126">
          <a:extLst>
            <a:ext uri="{FF2B5EF4-FFF2-40B4-BE49-F238E27FC236}">
              <a16:creationId xmlns:a16="http://schemas.microsoft.com/office/drawing/2014/main" id="{C3B83803-44E7-457A-A9DE-35D5F5C0E908}"/>
            </a:ext>
          </a:extLst>
        </xdr:cNvPr>
        <xdr:cNvSpPr/>
      </xdr:nvSpPr>
      <xdr:spPr>
        <a:xfrm>
          <a:off x="129302061" y="157343475"/>
          <a:ext cx="0" cy="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125</xdr:row>
      <xdr:rowOff>1801435</xdr:rowOff>
    </xdr:from>
    <xdr:to>
      <xdr:col>26</xdr:col>
      <xdr:colOff>16584706</xdr:colOff>
      <xdr:row>126</xdr:row>
      <xdr:rowOff>0</xdr:rowOff>
    </xdr:to>
    <xdr:sp macro="" textlink="">
      <xdr:nvSpPr>
        <xdr:cNvPr id="128" name="CuadroTexto 127">
          <a:extLst>
            <a:ext uri="{FF2B5EF4-FFF2-40B4-BE49-F238E27FC236}">
              <a16:creationId xmlns:a16="http://schemas.microsoft.com/office/drawing/2014/main" id="{67DCE05F-C0CF-4CD3-9EA3-D1F284762AEF}"/>
            </a:ext>
          </a:extLst>
        </xdr:cNvPr>
        <xdr:cNvSpPr txBox="1"/>
      </xdr:nvSpPr>
      <xdr:spPr>
        <a:xfrm>
          <a:off x="129303526" y="15734347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125</xdr:row>
      <xdr:rowOff>513602</xdr:rowOff>
    </xdr:from>
    <xdr:to>
      <xdr:col>26</xdr:col>
      <xdr:colOff>14721728</xdr:colOff>
      <xdr:row>126</xdr:row>
      <xdr:rowOff>0</xdr:rowOff>
    </xdr:to>
    <xdr:sp macro="" textlink="">
      <xdr:nvSpPr>
        <xdr:cNvPr id="129" name="Cerrar llave 128">
          <a:extLst>
            <a:ext uri="{FF2B5EF4-FFF2-40B4-BE49-F238E27FC236}">
              <a16:creationId xmlns:a16="http://schemas.microsoft.com/office/drawing/2014/main" id="{85FADE56-01ED-4ADD-A610-CC767C90AE13}"/>
            </a:ext>
          </a:extLst>
        </xdr:cNvPr>
        <xdr:cNvSpPr/>
      </xdr:nvSpPr>
      <xdr:spPr>
        <a:xfrm>
          <a:off x="129302061" y="157343475"/>
          <a:ext cx="0" cy="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125</xdr:row>
      <xdr:rowOff>1801435</xdr:rowOff>
    </xdr:from>
    <xdr:to>
      <xdr:col>26</xdr:col>
      <xdr:colOff>16584706</xdr:colOff>
      <xdr:row>126</xdr:row>
      <xdr:rowOff>0</xdr:rowOff>
    </xdr:to>
    <xdr:sp macro="" textlink="">
      <xdr:nvSpPr>
        <xdr:cNvPr id="130" name="CuadroTexto 129">
          <a:extLst>
            <a:ext uri="{FF2B5EF4-FFF2-40B4-BE49-F238E27FC236}">
              <a16:creationId xmlns:a16="http://schemas.microsoft.com/office/drawing/2014/main" id="{8121CA5C-7FCD-4600-A04F-06DAF23389CD}"/>
            </a:ext>
          </a:extLst>
        </xdr:cNvPr>
        <xdr:cNvSpPr txBox="1"/>
      </xdr:nvSpPr>
      <xdr:spPr>
        <a:xfrm>
          <a:off x="129303526" y="15734347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125</xdr:row>
      <xdr:rowOff>513602</xdr:rowOff>
    </xdr:from>
    <xdr:to>
      <xdr:col>26</xdr:col>
      <xdr:colOff>14721728</xdr:colOff>
      <xdr:row>126</xdr:row>
      <xdr:rowOff>0</xdr:rowOff>
    </xdr:to>
    <xdr:sp macro="" textlink="">
      <xdr:nvSpPr>
        <xdr:cNvPr id="131" name="Cerrar llave 130">
          <a:extLst>
            <a:ext uri="{FF2B5EF4-FFF2-40B4-BE49-F238E27FC236}">
              <a16:creationId xmlns:a16="http://schemas.microsoft.com/office/drawing/2014/main" id="{4B764072-09F8-4F8E-A029-E0A2A2B51E04}"/>
            </a:ext>
          </a:extLst>
        </xdr:cNvPr>
        <xdr:cNvSpPr/>
      </xdr:nvSpPr>
      <xdr:spPr>
        <a:xfrm>
          <a:off x="129302061" y="157343475"/>
          <a:ext cx="0" cy="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125</xdr:row>
      <xdr:rowOff>1801435</xdr:rowOff>
    </xdr:from>
    <xdr:to>
      <xdr:col>26</xdr:col>
      <xdr:colOff>16584706</xdr:colOff>
      <xdr:row>126</xdr:row>
      <xdr:rowOff>0</xdr:rowOff>
    </xdr:to>
    <xdr:sp macro="" textlink="">
      <xdr:nvSpPr>
        <xdr:cNvPr id="132" name="CuadroTexto 131">
          <a:extLst>
            <a:ext uri="{FF2B5EF4-FFF2-40B4-BE49-F238E27FC236}">
              <a16:creationId xmlns:a16="http://schemas.microsoft.com/office/drawing/2014/main" id="{94B638CF-C45E-47B3-8A65-038C14081630}"/>
            </a:ext>
          </a:extLst>
        </xdr:cNvPr>
        <xdr:cNvSpPr txBox="1"/>
      </xdr:nvSpPr>
      <xdr:spPr>
        <a:xfrm>
          <a:off x="129303526" y="15734347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125</xdr:row>
      <xdr:rowOff>513602</xdr:rowOff>
    </xdr:from>
    <xdr:to>
      <xdr:col>26</xdr:col>
      <xdr:colOff>14721728</xdr:colOff>
      <xdr:row>126</xdr:row>
      <xdr:rowOff>0</xdr:rowOff>
    </xdr:to>
    <xdr:sp macro="" textlink="">
      <xdr:nvSpPr>
        <xdr:cNvPr id="133" name="Cerrar llave 132">
          <a:extLst>
            <a:ext uri="{FF2B5EF4-FFF2-40B4-BE49-F238E27FC236}">
              <a16:creationId xmlns:a16="http://schemas.microsoft.com/office/drawing/2014/main" id="{6683A03C-0125-4CEC-A10B-69B2172B9598}"/>
            </a:ext>
          </a:extLst>
        </xdr:cNvPr>
        <xdr:cNvSpPr/>
      </xdr:nvSpPr>
      <xdr:spPr>
        <a:xfrm>
          <a:off x="129302061" y="157343475"/>
          <a:ext cx="0" cy="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125</xdr:row>
      <xdr:rowOff>1801435</xdr:rowOff>
    </xdr:from>
    <xdr:to>
      <xdr:col>26</xdr:col>
      <xdr:colOff>16584706</xdr:colOff>
      <xdr:row>126</xdr:row>
      <xdr:rowOff>0</xdr:rowOff>
    </xdr:to>
    <xdr:sp macro="" textlink="">
      <xdr:nvSpPr>
        <xdr:cNvPr id="134" name="CuadroTexto 133">
          <a:extLst>
            <a:ext uri="{FF2B5EF4-FFF2-40B4-BE49-F238E27FC236}">
              <a16:creationId xmlns:a16="http://schemas.microsoft.com/office/drawing/2014/main" id="{2BD2A525-EA26-43BE-82BD-EF968050135C}"/>
            </a:ext>
          </a:extLst>
        </xdr:cNvPr>
        <xdr:cNvSpPr txBox="1"/>
      </xdr:nvSpPr>
      <xdr:spPr>
        <a:xfrm>
          <a:off x="129303526" y="15734347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125</xdr:row>
      <xdr:rowOff>513602</xdr:rowOff>
    </xdr:from>
    <xdr:to>
      <xdr:col>26</xdr:col>
      <xdr:colOff>14721728</xdr:colOff>
      <xdr:row>126</xdr:row>
      <xdr:rowOff>0</xdr:rowOff>
    </xdr:to>
    <xdr:sp macro="" textlink="">
      <xdr:nvSpPr>
        <xdr:cNvPr id="135" name="Cerrar llave 134">
          <a:extLst>
            <a:ext uri="{FF2B5EF4-FFF2-40B4-BE49-F238E27FC236}">
              <a16:creationId xmlns:a16="http://schemas.microsoft.com/office/drawing/2014/main" id="{C48BF3D7-F98F-4286-9DBC-4F664C8DB4EE}"/>
            </a:ext>
          </a:extLst>
        </xdr:cNvPr>
        <xdr:cNvSpPr/>
      </xdr:nvSpPr>
      <xdr:spPr>
        <a:xfrm>
          <a:off x="129302061" y="157343475"/>
          <a:ext cx="0" cy="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125</xdr:row>
      <xdr:rowOff>1801435</xdr:rowOff>
    </xdr:from>
    <xdr:to>
      <xdr:col>26</xdr:col>
      <xdr:colOff>16584706</xdr:colOff>
      <xdr:row>126</xdr:row>
      <xdr:rowOff>0</xdr:rowOff>
    </xdr:to>
    <xdr:sp macro="" textlink="">
      <xdr:nvSpPr>
        <xdr:cNvPr id="136" name="CuadroTexto 135">
          <a:extLst>
            <a:ext uri="{FF2B5EF4-FFF2-40B4-BE49-F238E27FC236}">
              <a16:creationId xmlns:a16="http://schemas.microsoft.com/office/drawing/2014/main" id="{3E690381-808A-48D6-87A0-6D6E1D0B7C43}"/>
            </a:ext>
          </a:extLst>
        </xdr:cNvPr>
        <xdr:cNvSpPr txBox="1"/>
      </xdr:nvSpPr>
      <xdr:spPr>
        <a:xfrm>
          <a:off x="129303526" y="15734347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125</xdr:row>
      <xdr:rowOff>513602</xdr:rowOff>
    </xdr:from>
    <xdr:to>
      <xdr:col>26</xdr:col>
      <xdr:colOff>14721728</xdr:colOff>
      <xdr:row>126</xdr:row>
      <xdr:rowOff>0</xdr:rowOff>
    </xdr:to>
    <xdr:sp macro="" textlink="">
      <xdr:nvSpPr>
        <xdr:cNvPr id="137" name="Cerrar llave 136">
          <a:extLst>
            <a:ext uri="{FF2B5EF4-FFF2-40B4-BE49-F238E27FC236}">
              <a16:creationId xmlns:a16="http://schemas.microsoft.com/office/drawing/2014/main" id="{DD528D3E-17D6-4F30-B1A0-93BF7FC0CAC3}"/>
            </a:ext>
          </a:extLst>
        </xdr:cNvPr>
        <xdr:cNvSpPr/>
      </xdr:nvSpPr>
      <xdr:spPr>
        <a:xfrm>
          <a:off x="129302061" y="157343475"/>
          <a:ext cx="0" cy="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125</xdr:row>
      <xdr:rowOff>1801435</xdr:rowOff>
    </xdr:from>
    <xdr:to>
      <xdr:col>26</xdr:col>
      <xdr:colOff>16584706</xdr:colOff>
      <xdr:row>126</xdr:row>
      <xdr:rowOff>0</xdr:rowOff>
    </xdr:to>
    <xdr:sp macro="" textlink="">
      <xdr:nvSpPr>
        <xdr:cNvPr id="138" name="CuadroTexto 137">
          <a:extLst>
            <a:ext uri="{FF2B5EF4-FFF2-40B4-BE49-F238E27FC236}">
              <a16:creationId xmlns:a16="http://schemas.microsoft.com/office/drawing/2014/main" id="{7A59E25C-C2B6-49FB-B7BF-0D7CD9AE3E2B}"/>
            </a:ext>
          </a:extLst>
        </xdr:cNvPr>
        <xdr:cNvSpPr txBox="1"/>
      </xdr:nvSpPr>
      <xdr:spPr>
        <a:xfrm>
          <a:off x="129303526" y="15734347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125</xdr:row>
      <xdr:rowOff>513602</xdr:rowOff>
    </xdr:from>
    <xdr:to>
      <xdr:col>26</xdr:col>
      <xdr:colOff>14721728</xdr:colOff>
      <xdr:row>126</xdr:row>
      <xdr:rowOff>0</xdr:rowOff>
    </xdr:to>
    <xdr:sp macro="" textlink="">
      <xdr:nvSpPr>
        <xdr:cNvPr id="139" name="Cerrar llave 138">
          <a:extLst>
            <a:ext uri="{FF2B5EF4-FFF2-40B4-BE49-F238E27FC236}">
              <a16:creationId xmlns:a16="http://schemas.microsoft.com/office/drawing/2014/main" id="{0F13BF15-BAB1-4568-8EEF-19F5B1CF1FFB}"/>
            </a:ext>
          </a:extLst>
        </xdr:cNvPr>
        <xdr:cNvSpPr/>
      </xdr:nvSpPr>
      <xdr:spPr>
        <a:xfrm>
          <a:off x="129302061" y="157343475"/>
          <a:ext cx="0" cy="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125</xdr:row>
      <xdr:rowOff>1801435</xdr:rowOff>
    </xdr:from>
    <xdr:to>
      <xdr:col>26</xdr:col>
      <xdr:colOff>16584706</xdr:colOff>
      <xdr:row>126</xdr:row>
      <xdr:rowOff>0</xdr:rowOff>
    </xdr:to>
    <xdr:sp macro="" textlink="">
      <xdr:nvSpPr>
        <xdr:cNvPr id="140" name="CuadroTexto 139">
          <a:extLst>
            <a:ext uri="{FF2B5EF4-FFF2-40B4-BE49-F238E27FC236}">
              <a16:creationId xmlns:a16="http://schemas.microsoft.com/office/drawing/2014/main" id="{C419FE4A-8A2F-42C4-9C89-AED01B0BE690}"/>
            </a:ext>
          </a:extLst>
        </xdr:cNvPr>
        <xdr:cNvSpPr txBox="1"/>
      </xdr:nvSpPr>
      <xdr:spPr>
        <a:xfrm>
          <a:off x="129303526" y="15734347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125</xdr:row>
      <xdr:rowOff>513602</xdr:rowOff>
    </xdr:from>
    <xdr:to>
      <xdr:col>26</xdr:col>
      <xdr:colOff>14721728</xdr:colOff>
      <xdr:row>126</xdr:row>
      <xdr:rowOff>0</xdr:rowOff>
    </xdr:to>
    <xdr:sp macro="" textlink="">
      <xdr:nvSpPr>
        <xdr:cNvPr id="141" name="Cerrar llave 140">
          <a:extLst>
            <a:ext uri="{FF2B5EF4-FFF2-40B4-BE49-F238E27FC236}">
              <a16:creationId xmlns:a16="http://schemas.microsoft.com/office/drawing/2014/main" id="{1A60547A-C555-44EE-83CD-E18ACC4D6D99}"/>
            </a:ext>
          </a:extLst>
        </xdr:cNvPr>
        <xdr:cNvSpPr/>
      </xdr:nvSpPr>
      <xdr:spPr>
        <a:xfrm>
          <a:off x="129302061" y="157343475"/>
          <a:ext cx="0" cy="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125</xdr:row>
      <xdr:rowOff>1801435</xdr:rowOff>
    </xdr:from>
    <xdr:to>
      <xdr:col>26</xdr:col>
      <xdr:colOff>16584706</xdr:colOff>
      <xdr:row>126</xdr:row>
      <xdr:rowOff>0</xdr:rowOff>
    </xdr:to>
    <xdr:sp macro="" textlink="">
      <xdr:nvSpPr>
        <xdr:cNvPr id="142" name="CuadroTexto 141">
          <a:extLst>
            <a:ext uri="{FF2B5EF4-FFF2-40B4-BE49-F238E27FC236}">
              <a16:creationId xmlns:a16="http://schemas.microsoft.com/office/drawing/2014/main" id="{4F987A3B-B10F-43B7-BA2B-F06D219D405F}"/>
            </a:ext>
          </a:extLst>
        </xdr:cNvPr>
        <xdr:cNvSpPr txBox="1"/>
      </xdr:nvSpPr>
      <xdr:spPr>
        <a:xfrm>
          <a:off x="129303526" y="15734347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125</xdr:row>
      <xdr:rowOff>513602</xdr:rowOff>
    </xdr:from>
    <xdr:to>
      <xdr:col>26</xdr:col>
      <xdr:colOff>14721728</xdr:colOff>
      <xdr:row>126</xdr:row>
      <xdr:rowOff>0</xdr:rowOff>
    </xdr:to>
    <xdr:sp macro="" textlink="">
      <xdr:nvSpPr>
        <xdr:cNvPr id="143" name="Cerrar llave 142">
          <a:extLst>
            <a:ext uri="{FF2B5EF4-FFF2-40B4-BE49-F238E27FC236}">
              <a16:creationId xmlns:a16="http://schemas.microsoft.com/office/drawing/2014/main" id="{2EAFEC7A-CA3D-4ABC-8B33-013F6ECA17AA}"/>
            </a:ext>
          </a:extLst>
        </xdr:cNvPr>
        <xdr:cNvSpPr/>
      </xdr:nvSpPr>
      <xdr:spPr>
        <a:xfrm>
          <a:off x="129302061" y="157343475"/>
          <a:ext cx="0" cy="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125</xdr:row>
      <xdr:rowOff>1801435</xdr:rowOff>
    </xdr:from>
    <xdr:to>
      <xdr:col>26</xdr:col>
      <xdr:colOff>16584706</xdr:colOff>
      <xdr:row>126</xdr:row>
      <xdr:rowOff>0</xdr:rowOff>
    </xdr:to>
    <xdr:sp macro="" textlink="">
      <xdr:nvSpPr>
        <xdr:cNvPr id="144" name="CuadroTexto 143">
          <a:extLst>
            <a:ext uri="{FF2B5EF4-FFF2-40B4-BE49-F238E27FC236}">
              <a16:creationId xmlns:a16="http://schemas.microsoft.com/office/drawing/2014/main" id="{2DD60063-C66E-42E3-8F9B-BECC78E94B12}"/>
            </a:ext>
          </a:extLst>
        </xdr:cNvPr>
        <xdr:cNvSpPr txBox="1"/>
      </xdr:nvSpPr>
      <xdr:spPr>
        <a:xfrm>
          <a:off x="129303526" y="15734347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26</xdr:col>
      <xdr:colOff>14040036</xdr:colOff>
      <xdr:row>125</xdr:row>
      <xdr:rowOff>513602</xdr:rowOff>
    </xdr:from>
    <xdr:to>
      <xdr:col>26</xdr:col>
      <xdr:colOff>14721728</xdr:colOff>
      <xdr:row>126</xdr:row>
      <xdr:rowOff>0</xdr:rowOff>
    </xdr:to>
    <xdr:sp macro="" textlink="">
      <xdr:nvSpPr>
        <xdr:cNvPr id="145" name="Cerrar llave 144">
          <a:extLst>
            <a:ext uri="{FF2B5EF4-FFF2-40B4-BE49-F238E27FC236}">
              <a16:creationId xmlns:a16="http://schemas.microsoft.com/office/drawing/2014/main" id="{DAF8D98D-6C7D-4CCA-819B-5E71F4A739A0}"/>
            </a:ext>
          </a:extLst>
        </xdr:cNvPr>
        <xdr:cNvSpPr/>
      </xdr:nvSpPr>
      <xdr:spPr>
        <a:xfrm>
          <a:off x="129302061" y="157343475"/>
          <a:ext cx="0" cy="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26</xdr:col>
      <xdr:colOff>14727301</xdr:colOff>
      <xdr:row>125</xdr:row>
      <xdr:rowOff>1801435</xdr:rowOff>
    </xdr:from>
    <xdr:to>
      <xdr:col>26</xdr:col>
      <xdr:colOff>16584706</xdr:colOff>
      <xdr:row>126</xdr:row>
      <xdr:rowOff>0</xdr:rowOff>
    </xdr:to>
    <xdr:sp macro="" textlink="">
      <xdr:nvSpPr>
        <xdr:cNvPr id="146" name="CuadroTexto 145">
          <a:extLst>
            <a:ext uri="{FF2B5EF4-FFF2-40B4-BE49-F238E27FC236}">
              <a16:creationId xmlns:a16="http://schemas.microsoft.com/office/drawing/2014/main" id="{90D3786D-643F-489D-9E81-37D5EF830819}"/>
            </a:ext>
          </a:extLst>
        </xdr:cNvPr>
        <xdr:cNvSpPr txBox="1"/>
      </xdr:nvSpPr>
      <xdr:spPr>
        <a:xfrm>
          <a:off x="129303526" y="157343475"/>
          <a:ext cx="3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500"/>
            <a:t>20</a:t>
          </a:r>
        </a:p>
      </xdr:txBody>
    </xdr:sp>
    <xdr:clientData/>
  </xdr:twoCellAnchor>
  <xdr:twoCellAnchor>
    <xdr:from>
      <xdr:col>31</xdr:col>
      <xdr:colOff>0</xdr:colOff>
      <xdr:row>12</xdr:row>
      <xdr:rowOff>846667</xdr:rowOff>
    </xdr:from>
    <xdr:to>
      <xdr:col>31</xdr:col>
      <xdr:colOff>0</xdr:colOff>
      <xdr:row>12</xdr:row>
      <xdr:rowOff>899583</xdr:rowOff>
    </xdr:to>
    <xdr:cxnSp macro="">
      <xdr:nvCxnSpPr>
        <xdr:cNvPr id="147" name="Conector recto 146">
          <a:extLst>
            <a:ext uri="{FF2B5EF4-FFF2-40B4-BE49-F238E27FC236}">
              <a16:creationId xmlns:a16="http://schemas.microsoft.com/office/drawing/2014/main" id="{69E45482-964B-4446-A3FA-5D45C521C7D9}"/>
            </a:ext>
          </a:extLst>
        </xdr:cNvPr>
        <xdr:cNvCxnSpPr/>
      </xdr:nvCxnSpPr>
      <xdr:spPr>
        <a:xfrm flipH="1" flipV="1">
          <a:off x="146627850" y="18991792"/>
          <a:ext cx="0" cy="5291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12</xdr:row>
      <xdr:rowOff>846667</xdr:rowOff>
    </xdr:from>
    <xdr:to>
      <xdr:col>31</xdr:col>
      <xdr:colOff>0</xdr:colOff>
      <xdr:row>12</xdr:row>
      <xdr:rowOff>899583</xdr:rowOff>
    </xdr:to>
    <xdr:cxnSp macro="">
      <xdr:nvCxnSpPr>
        <xdr:cNvPr id="148" name="Conector recto 147">
          <a:extLst>
            <a:ext uri="{FF2B5EF4-FFF2-40B4-BE49-F238E27FC236}">
              <a16:creationId xmlns:a16="http://schemas.microsoft.com/office/drawing/2014/main" id="{78DF5684-9833-4933-9A5C-CFD40E627773}"/>
            </a:ext>
          </a:extLst>
        </xdr:cNvPr>
        <xdr:cNvCxnSpPr/>
      </xdr:nvCxnSpPr>
      <xdr:spPr>
        <a:xfrm flipH="1" flipV="1">
          <a:off x="146627850" y="18991792"/>
          <a:ext cx="0" cy="5291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12</xdr:row>
      <xdr:rowOff>846667</xdr:rowOff>
    </xdr:from>
    <xdr:to>
      <xdr:col>32</xdr:col>
      <xdr:colOff>0</xdr:colOff>
      <xdr:row>12</xdr:row>
      <xdr:rowOff>899583</xdr:rowOff>
    </xdr:to>
    <xdr:cxnSp macro="">
      <xdr:nvCxnSpPr>
        <xdr:cNvPr id="149" name="Conector recto 148">
          <a:extLst>
            <a:ext uri="{FF2B5EF4-FFF2-40B4-BE49-F238E27FC236}">
              <a16:creationId xmlns:a16="http://schemas.microsoft.com/office/drawing/2014/main" id="{1B798CD4-2F15-4603-B0C4-C8AC4394CB55}"/>
            </a:ext>
          </a:extLst>
        </xdr:cNvPr>
        <xdr:cNvCxnSpPr/>
      </xdr:nvCxnSpPr>
      <xdr:spPr>
        <a:xfrm flipH="1" flipV="1">
          <a:off x="148142325" y="18991792"/>
          <a:ext cx="0" cy="5291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396875</xdr:colOff>
      <xdr:row>23</xdr:row>
      <xdr:rowOff>0</xdr:rowOff>
    </xdr:from>
    <xdr:to>
      <xdr:col>30</xdr:col>
      <xdr:colOff>2143125</xdr:colOff>
      <xdr:row>24</xdr:row>
      <xdr:rowOff>1587500</xdr:rowOff>
    </xdr:to>
    <xdr:sp macro="" textlink="">
      <xdr:nvSpPr>
        <xdr:cNvPr id="150" name="Cerrar llave 149">
          <a:extLst>
            <a:ext uri="{FF2B5EF4-FFF2-40B4-BE49-F238E27FC236}">
              <a16:creationId xmlns:a16="http://schemas.microsoft.com/office/drawing/2014/main" id="{306438D2-BFC8-4DA9-A5D8-2D746214C361}"/>
            </a:ext>
          </a:extLst>
        </xdr:cNvPr>
        <xdr:cNvSpPr/>
      </xdr:nvSpPr>
      <xdr:spPr>
        <a:xfrm>
          <a:off x="144805400" y="33547050"/>
          <a:ext cx="1746250" cy="27971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317500</xdr:colOff>
      <xdr:row>26</xdr:row>
      <xdr:rowOff>0</xdr:rowOff>
    </xdr:from>
    <xdr:to>
      <xdr:col>30</xdr:col>
      <xdr:colOff>2063750</xdr:colOff>
      <xdr:row>27</xdr:row>
      <xdr:rowOff>1587500</xdr:rowOff>
    </xdr:to>
    <xdr:sp macro="" textlink="">
      <xdr:nvSpPr>
        <xdr:cNvPr id="151" name="Cerrar llave 150">
          <a:extLst>
            <a:ext uri="{FF2B5EF4-FFF2-40B4-BE49-F238E27FC236}">
              <a16:creationId xmlns:a16="http://schemas.microsoft.com/office/drawing/2014/main" id="{679A18EB-4CC9-47BB-8B95-5828AD222747}"/>
            </a:ext>
          </a:extLst>
        </xdr:cNvPr>
        <xdr:cNvSpPr/>
      </xdr:nvSpPr>
      <xdr:spPr>
        <a:xfrm>
          <a:off x="144726025" y="37747575"/>
          <a:ext cx="1746250" cy="27971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238125</xdr:colOff>
      <xdr:row>29</xdr:row>
      <xdr:rowOff>0</xdr:rowOff>
    </xdr:from>
    <xdr:to>
      <xdr:col>30</xdr:col>
      <xdr:colOff>1984375</xdr:colOff>
      <xdr:row>30</xdr:row>
      <xdr:rowOff>1587500</xdr:rowOff>
    </xdr:to>
    <xdr:sp macro="" textlink="">
      <xdr:nvSpPr>
        <xdr:cNvPr id="152" name="Cerrar llave 151">
          <a:extLst>
            <a:ext uri="{FF2B5EF4-FFF2-40B4-BE49-F238E27FC236}">
              <a16:creationId xmlns:a16="http://schemas.microsoft.com/office/drawing/2014/main" id="{DD240473-7952-481B-A4C1-DC0E3332DC70}"/>
            </a:ext>
          </a:extLst>
        </xdr:cNvPr>
        <xdr:cNvSpPr/>
      </xdr:nvSpPr>
      <xdr:spPr>
        <a:xfrm>
          <a:off x="144646650" y="41948100"/>
          <a:ext cx="1746250" cy="27971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396875</xdr:colOff>
      <xdr:row>32</xdr:row>
      <xdr:rowOff>0</xdr:rowOff>
    </xdr:from>
    <xdr:to>
      <xdr:col>30</xdr:col>
      <xdr:colOff>2143125</xdr:colOff>
      <xdr:row>33</xdr:row>
      <xdr:rowOff>1428750</xdr:rowOff>
    </xdr:to>
    <xdr:sp macro="" textlink="">
      <xdr:nvSpPr>
        <xdr:cNvPr id="153" name="Cerrar llave 152">
          <a:extLst>
            <a:ext uri="{FF2B5EF4-FFF2-40B4-BE49-F238E27FC236}">
              <a16:creationId xmlns:a16="http://schemas.microsoft.com/office/drawing/2014/main" id="{090E7375-8D9B-4C40-B231-0F640E4940CE}"/>
            </a:ext>
          </a:extLst>
        </xdr:cNvPr>
        <xdr:cNvSpPr/>
      </xdr:nvSpPr>
      <xdr:spPr>
        <a:xfrm>
          <a:off x="144805400" y="46148625"/>
          <a:ext cx="1746250" cy="28003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396875</xdr:colOff>
      <xdr:row>35</xdr:row>
      <xdr:rowOff>79375</xdr:rowOff>
    </xdr:from>
    <xdr:to>
      <xdr:col>30</xdr:col>
      <xdr:colOff>2143125</xdr:colOff>
      <xdr:row>36</xdr:row>
      <xdr:rowOff>1508125</xdr:rowOff>
    </xdr:to>
    <xdr:sp macro="" textlink="">
      <xdr:nvSpPr>
        <xdr:cNvPr id="154" name="Cerrar llave 153">
          <a:extLst>
            <a:ext uri="{FF2B5EF4-FFF2-40B4-BE49-F238E27FC236}">
              <a16:creationId xmlns:a16="http://schemas.microsoft.com/office/drawing/2014/main" id="{34370729-8086-4E90-948B-FFA16CB2BCCF}"/>
            </a:ext>
          </a:extLst>
        </xdr:cNvPr>
        <xdr:cNvSpPr/>
      </xdr:nvSpPr>
      <xdr:spPr>
        <a:xfrm>
          <a:off x="144805400" y="50428525"/>
          <a:ext cx="1746250" cy="27241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635001</xdr:colOff>
      <xdr:row>70</xdr:row>
      <xdr:rowOff>158750</xdr:rowOff>
    </xdr:from>
    <xdr:to>
      <xdr:col>30</xdr:col>
      <xdr:colOff>2143125</xdr:colOff>
      <xdr:row>71</xdr:row>
      <xdr:rowOff>2778125</xdr:rowOff>
    </xdr:to>
    <xdr:sp macro="" textlink="">
      <xdr:nvSpPr>
        <xdr:cNvPr id="155" name="Cerrar llave 154">
          <a:extLst>
            <a:ext uri="{FF2B5EF4-FFF2-40B4-BE49-F238E27FC236}">
              <a16:creationId xmlns:a16="http://schemas.microsoft.com/office/drawing/2014/main" id="{7EFC5EE9-6036-4364-9458-C104B12C43AC}"/>
            </a:ext>
          </a:extLst>
        </xdr:cNvPr>
        <xdr:cNvSpPr/>
      </xdr:nvSpPr>
      <xdr:spPr>
        <a:xfrm>
          <a:off x="145043526" y="103485950"/>
          <a:ext cx="1508124" cy="271462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555625</xdr:colOff>
      <xdr:row>73</xdr:row>
      <xdr:rowOff>79375</xdr:rowOff>
    </xdr:from>
    <xdr:to>
      <xdr:col>31</xdr:col>
      <xdr:colOff>79375</xdr:colOff>
      <xdr:row>74</xdr:row>
      <xdr:rowOff>1508125</xdr:rowOff>
    </xdr:to>
    <xdr:sp macro="" textlink="">
      <xdr:nvSpPr>
        <xdr:cNvPr id="156" name="Cerrar llave 155">
          <a:extLst>
            <a:ext uri="{FF2B5EF4-FFF2-40B4-BE49-F238E27FC236}">
              <a16:creationId xmlns:a16="http://schemas.microsoft.com/office/drawing/2014/main" id="{A3E1EF2B-E893-4F15-8906-A5BB35201773}"/>
            </a:ext>
          </a:extLst>
        </xdr:cNvPr>
        <xdr:cNvSpPr/>
      </xdr:nvSpPr>
      <xdr:spPr>
        <a:xfrm>
          <a:off x="144964150" y="107721400"/>
          <a:ext cx="1743075" cy="28003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555625</xdr:colOff>
      <xdr:row>75</xdr:row>
      <xdr:rowOff>158750</xdr:rowOff>
    </xdr:from>
    <xdr:to>
      <xdr:col>31</xdr:col>
      <xdr:colOff>79375</xdr:colOff>
      <xdr:row>76</xdr:row>
      <xdr:rowOff>1746250</xdr:rowOff>
    </xdr:to>
    <xdr:sp macro="" textlink="">
      <xdr:nvSpPr>
        <xdr:cNvPr id="157" name="Cerrar llave 156">
          <a:extLst>
            <a:ext uri="{FF2B5EF4-FFF2-40B4-BE49-F238E27FC236}">
              <a16:creationId xmlns:a16="http://schemas.microsoft.com/office/drawing/2014/main" id="{F72ED113-714A-4FB4-9B3F-2CAB5D21CDF1}"/>
            </a:ext>
          </a:extLst>
        </xdr:cNvPr>
        <xdr:cNvSpPr/>
      </xdr:nvSpPr>
      <xdr:spPr>
        <a:xfrm>
          <a:off x="144964150" y="110677325"/>
          <a:ext cx="1743075" cy="27209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396875</xdr:colOff>
      <xdr:row>77</xdr:row>
      <xdr:rowOff>0</xdr:rowOff>
    </xdr:from>
    <xdr:to>
      <xdr:col>30</xdr:col>
      <xdr:colOff>2143125</xdr:colOff>
      <xdr:row>78</xdr:row>
      <xdr:rowOff>1587500</xdr:rowOff>
    </xdr:to>
    <xdr:sp macro="" textlink="">
      <xdr:nvSpPr>
        <xdr:cNvPr id="158" name="Cerrar llave 157">
          <a:extLst>
            <a:ext uri="{FF2B5EF4-FFF2-40B4-BE49-F238E27FC236}">
              <a16:creationId xmlns:a16="http://schemas.microsoft.com/office/drawing/2014/main" id="{F73EBB64-4B96-4470-B680-7804A09A601F}"/>
            </a:ext>
          </a:extLst>
        </xdr:cNvPr>
        <xdr:cNvSpPr/>
      </xdr:nvSpPr>
      <xdr:spPr>
        <a:xfrm>
          <a:off x="144805400" y="113395125"/>
          <a:ext cx="1746250" cy="28733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476250</xdr:colOff>
      <xdr:row>79</xdr:row>
      <xdr:rowOff>0</xdr:rowOff>
    </xdr:from>
    <xdr:to>
      <xdr:col>31</xdr:col>
      <xdr:colOff>0</xdr:colOff>
      <xdr:row>80</xdr:row>
      <xdr:rowOff>1428750</xdr:rowOff>
    </xdr:to>
    <xdr:sp macro="" textlink="">
      <xdr:nvSpPr>
        <xdr:cNvPr id="159" name="Cerrar llave 158">
          <a:extLst>
            <a:ext uri="{FF2B5EF4-FFF2-40B4-BE49-F238E27FC236}">
              <a16:creationId xmlns:a16="http://schemas.microsoft.com/office/drawing/2014/main" id="{5034DD2C-7BFC-415E-9766-BB9F74AF4EA8}"/>
            </a:ext>
          </a:extLst>
        </xdr:cNvPr>
        <xdr:cNvSpPr/>
      </xdr:nvSpPr>
      <xdr:spPr>
        <a:xfrm>
          <a:off x="144884775" y="116271675"/>
          <a:ext cx="1743075" cy="14382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317500</xdr:colOff>
      <xdr:row>92</xdr:row>
      <xdr:rowOff>396874</xdr:rowOff>
    </xdr:from>
    <xdr:to>
      <xdr:col>31</xdr:col>
      <xdr:colOff>0</xdr:colOff>
      <xdr:row>101</xdr:row>
      <xdr:rowOff>1349374</xdr:rowOff>
    </xdr:to>
    <xdr:sp macro="" textlink="">
      <xdr:nvSpPr>
        <xdr:cNvPr id="160" name="Cerrar llave 159">
          <a:extLst>
            <a:ext uri="{FF2B5EF4-FFF2-40B4-BE49-F238E27FC236}">
              <a16:creationId xmlns:a16="http://schemas.microsoft.com/office/drawing/2014/main" id="{CD5EA120-F5E6-466F-AE25-0B56F79168C5}"/>
            </a:ext>
          </a:extLst>
        </xdr:cNvPr>
        <xdr:cNvSpPr/>
      </xdr:nvSpPr>
      <xdr:spPr>
        <a:xfrm>
          <a:off x="144726025" y="126577725"/>
          <a:ext cx="1901825" cy="1010602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317500</xdr:colOff>
      <xdr:row>111</xdr:row>
      <xdr:rowOff>79375</xdr:rowOff>
    </xdr:from>
    <xdr:to>
      <xdr:col>30</xdr:col>
      <xdr:colOff>2063750</xdr:colOff>
      <xdr:row>122</xdr:row>
      <xdr:rowOff>1587500</xdr:rowOff>
    </xdr:to>
    <xdr:sp macro="" textlink="">
      <xdr:nvSpPr>
        <xdr:cNvPr id="161" name="Cerrar llave 160">
          <a:extLst>
            <a:ext uri="{FF2B5EF4-FFF2-40B4-BE49-F238E27FC236}">
              <a16:creationId xmlns:a16="http://schemas.microsoft.com/office/drawing/2014/main" id="{265DB96C-0B9E-446B-A59D-8E5D2FD5CECC}"/>
            </a:ext>
          </a:extLst>
        </xdr:cNvPr>
        <xdr:cNvSpPr/>
      </xdr:nvSpPr>
      <xdr:spPr>
        <a:xfrm>
          <a:off x="144726025" y="145837275"/>
          <a:ext cx="1746250" cy="86264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206375</xdr:colOff>
      <xdr:row>125</xdr:row>
      <xdr:rowOff>79375</xdr:rowOff>
    </xdr:from>
    <xdr:to>
      <xdr:col>31</xdr:col>
      <xdr:colOff>47625</xdr:colOff>
      <xdr:row>132</xdr:row>
      <xdr:rowOff>0</xdr:rowOff>
    </xdr:to>
    <xdr:sp macro="" textlink="">
      <xdr:nvSpPr>
        <xdr:cNvPr id="162" name="Cerrar llave 161">
          <a:extLst>
            <a:ext uri="{FF2B5EF4-FFF2-40B4-BE49-F238E27FC236}">
              <a16:creationId xmlns:a16="http://schemas.microsoft.com/office/drawing/2014/main" id="{730BEF21-6852-4FEE-8ABE-DBE91E82EA5B}"/>
            </a:ext>
          </a:extLst>
        </xdr:cNvPr>
        <xdr:cNvSpPr/>
      </xdr:nvSpPr>
      <xdr:spPr>
        <a:xfrm>
          <a:off x="144614900" y="157343475"/>
          <a:ext cx="2060575" cy="407670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635000</xdr:colOff>
      <xdr:row>136</xdr:row>
      <xdr:rowOff>1</xdr:rowOff>
    </xdr:from>
    <xdr:to>
      <xdr:col>31</xdr:col>
      <xdr:colOff>79375</xdr:colOff>
      <xdr:row>137</xdr:row>
      <xdr:rowOff>0</xdr:rowOff>
    </xdr:to>
    <xdr:sp macro="" textlink="">
      <xdr:nvSpPr>
        <xdr:cNvPr id="163" name="Cerrar llave 162">
          <a:extLst>
            <a:ext uri="{FF2B5EF4-FFF2-40B4-BE49-F238E27FC236}">
              <a16:creationId xmlns:a16="http://schemas.microsoft.com/office/drawing/2014/main" id="{0C363D45-3866-429D-AA0C-D53026D34CDD}"/>
            </a:ext>
          </a:extLst>
        </xdr:cNvPr>
        <xdr:cNvSpPr/>
      </xdr:nvSpPr>
      <xdr:spPr>
        <a:xfrm>
          <a:off x="145043525" y="166582726"/>
          <a:ext cx="1663700" cy="1857374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0</xdr:colOff>
      <xdr:row>163</xdr:row>
      <xdr:rowOff>1</xdr:rowOff>
    </xdr:from>
    <xdr:to>
      <xdr:col>30</xdr:col>
      <xdr:colOff>2063750</xdr:colOff>
      <xdr:row>170</xdr:row>
      <xdr:rowOff>840442</xdr:rowOff>
    </xdr:to>
    <xdr:sp macro="" textlink="">
      <xdr:nvSpPr>
        <xdr:cNvPr id="164" name="Cerrar llave 163">
          <a:extLst>
            <a:ext uri="{FF2B5EF4-FFF2-40B4-BE49-F238E27FC236}">
              <a16:creationId xmlns:a16="http://schemas.microsoft.com/office/drawing/2014/main" id="{DA789BB4-C32C-42D3-A99D-0A1922852B49}"/>
            </a:ext>
          </a:extLst>
        </xdr:cNvPr>
        <xdr:cNvSpPr/>
      </xdr:nvSpPr>
      <xdr:spPr>
        <a:xfrm>
          <a:off x="144408525" y="200196451"/>
          <a:ext cx="2063750" cy="11841816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317500</xdr:colOff>
      <xdr:row>3</xdr:row>
      <xdr:rowOff>79375</xdr:rowOff>
    </xdr:from>
    <xdr:to>
      <xdr:col>31</xdr:col>
      <xdr:colOff>158750</xdr:colOff>
      <xdr:row>9</xdr:row>
      <xdr:rowOff>158750</xdr:rowOff>
    </xdr:to>
    <xdr:sp macro="" textlink="">
      <xdr:nvSpPr>
        <xdr:cNvPr id="165" name="Cerrar llave 164">
          <a:extLst>
            <a:ext uri="{FF2B5EF4-FFF2-40B4-BE49-F238E27FC236}">
              <a16:creationId xmlns:a16="http://schemas.microsoft.com/office/drawing/2014/main" id="{BCBA3B20-897E-4278-A69A-82EA6FAC437F}"/>
            </a:ext>
          </a:extLst>
        </xdr:cNvPr>
        <xdr:cNvSpPr/>
      </xdr:nvSpPr>
      <xdr:spPr>
        <a:xfrm>
          <a:off x="144726025" y="5184775"/>
          <a:ext cx="2060575" cy="893762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396875</xdr:colOff>
      <xdr:row>9</xdr:row>
      <xdr:rowOff>555625</xdr:rowOff>
    </xdr:from>
    <xdr:to>
      <xdr:col>31</xdr:col>
      <xdr:colOff>238125</xdr:colOff>
      <xdr:row>19</xdr:row>
      <xdr:rowOff>1587500</xdr:rowOff>
    </xdr:to>
    <xdr:sp macro="" textlink="">
      <xdr:nvSpPr>
        <xdr:cNvPr id="166" name="Cerrar llave 165">
          <a:extLst>
            <a:ext uri="{FF2B5EF4-FFF2-40B4-BE49-F238E27FC236}">
              <a16:creationId xmlns:a16="http://schemas.microsoft.com/office/drawing/2014/main" id="{945FA1E9-A412-4CFA-A5A9-75D07889D8AE}"/>
            </a:ext>
          </a:extLst>
        </xdr:cNvPr>
        <xdr:cNvSpPr/>
      </xdr:nvSpPr>
      <xdr:spPr>
        <a:xfrm>
          <a:off x="144805400" y="14519275"/>
          <a:ext cx="2060575" cy="14824075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0</xdr:colOff>
      <xdr:row>106</xdr:row>
      <xdr:rowOff>0</xdr:rowOff>
    </xdr:from>
    <xdr:to>
      <xdr:col>30</xdr:col>
      <xdr:colOff>1923677</xdr:colOff>
      <xdr:row>107</xdr:row>
      <xdr:rowOff>0</xdr:rowOff>
    </xdr:to>
    <xdr:sp macro="" textlink="">
      <xdr:nvSpPr>
        <xdr:cNvPr id="167" name="Cerrar llave 166">
          <a:extLst>
            <a:ext uri="{FF2B5EF4-FFF2-40B4-BE49-F238E27FC236}">
              <a16:creationId xmlns:a16="http://schemas.microsoft.com/office/drawing/2014/main" id="{E0F948A1-F346-43C4-8DDD-5A7D6864513E}"/>
            </a:ext>
          </a:extLst>
        </xdr:cNvPr>
        <xdr:cNvSpPr/>
      </xdr:nvSpPr>
      <xdr:spPr>
        <a:xfrm>
          <a:off x="144408525" y="143017875"/>
          <a:ext cx="1923677" cy="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31</xdr:col>
      <xdr:colOff>0</xdr:colOff>
      <xdr:row>11</xdr:row>
      <xdr:rowOff>846667</xdr:rowOff>
    </xdr:from>
    <xdr:to>
      <xdr:col>31</xdr:col>
      <xdr:colOff>0</xdr:colOff>
      <xdr:row>11</xdr:row>
      <xdr:rowOff>899583</xdr:rowOff>
    </xdr:to>
    <xdr:cxnSp macro="">
      <xdr:nvCxnSpPr>
        <xdr:cNvPr id="168" name="Conector recto 167">
          <a:extLst>
            <a:ext uri="{FF2B5EF4-FFF2-40B4-BE49-F238E27FC236}">
              <a16:creationId xmlns:a16="http://schemas.microsoft.com/office/drawing/2014/main" id="{EA756B85-9E92-45E4-9F60-4CC30AED3CCC}"/>
            </a:ext>
          </a:extLst>
        </xdr:cNvPr>
        <xdr:cNvCxnSpPr/>
      </xdr:nvCxnSpPr>
      <xdr:spPr>
        <a:xfrm flipH="1" flipV="1">
          <a:off x="146627850" y="17610667"/>
          <a:ext cx="0" cy="5291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11</xdr:row>
      <xdr:rowOff>846667</xdr:rowOff>
    </xdr:from>
    <xdr:to>
      <xdr:col>31</xdr:col>
      <xdr:colOff>0</xdr:colOff>
      <xdr:row>11</xdr:row>
      <xdr:rowOff>899583</xdr:rowOff>
    </xdr:to>
    <xdr:cxnSp macro="">
      <xdr:nvCxnSpPr>
        <xdr:cNvPr id="169" name="Conector recto 168">
          <a:extLst>
            <a:ext uri="{FF2B5EF4-FFF2-40B4-BE49-F238E27FC236}">
              <a16:creationId xmlns:a16="http://schemas.microsoft.com/office/drawing/2014/main" id="{A64A746A-496B-43A9-9CDC-0A3618F9C570}"/>
            </a:ext>
          </a:extLst>
        </xdr:cNvPr>
        <xdr:cNvCxnSpPr/>
      </xdr:nvCxnSpPr>
      <xdr:spPr>
        <a:xfrm flipH="1" flipV="1">
          <a:off x="146627850" y="17610667"/>
          <a:ext cx="0" cy="5291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11</xdr:row>
      <xdr:rowOff>846667</xdr:rowOff>
    </xdr:from>
    <xdr:to>
      <xdr:col>32</xdr:col>
      <xdr:colOff>0</xdr:colOff>
      <xdr:row>11</xdr:row>
      <xdr:rowOff>899583</xdr:rowOff>
    </xdr:to>
    <xdr:cxnSp macro="">
      <xdr:nvCxnSpPr>
        <xdr:cNvPr id="170" name="Conector recto 169">
          <a:extLst>
            <a:ext uri="{FF2B5EF4-FFF2-40B4-BE49-F238E27FC236}">
              <a16:creationId xmlns:a16="http://schemas.microsoft.com/office/drawing/2014/main" id="{4037870A-0464-4A33-BB21-47B8546A1D09}"/>
            </a:ext>
          </a:extLst>
        </xdr:cNvPr>
        <xdr:cNvCxnSpPr/>
      </xdr:nvCxnSpPr>
      <xdr:spPr>
        <a:xfrm flipH="1" flipV="1">
          <a:off x="148142325" y="17610667"/>
          <a:ext cx="0" cy="5291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8683625</xdr:colOff>
      <xdr:row>40</xdr:row>
      <xdr:rowOff>269875</xdr:rowOff>
    </xdr:from>
    <xdr:to>
      <xdr:col>30</xdr:col>
      <xdr:colOff>1666875</xdr:colOff>
      <xdr:row>54</xdr:row>
      <xdr:rowOff>190500</xdr:rowOff>
    </xdr:to>
    <xdr:sp macro="" textlink="">
      <xdr:nvSpPr>
        <xdr:cNvPr id="171" name="Cerrar llave 170">
          <a:extLst>
            <a:ext uri="{FF2B5EF4-FFF2-40B4-BE49-F238E27FC236}">
              <a16:creationId xmlns:a16="http://schemas.microsoft.com/office/drawing/2014/main" id="{B68D2469-7A8C-4A69-A4FB-03F7B6D7C085}"/>
            </a:ext>
          </a:extLst>
        </xdr:cNvPr>
        <xdr:cNvSpPr/>
      </xdr:nvSpPr>
      <xdr:spPr>
        <a:xfrm>
          <a:off x="144291050" y="58810525"/>
          <a:ext cx="1784350" cy="235521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0</xdr:colOff>
      <xdr:row>107</xdr:row>
      <xdr:rowOff>0</xdr:rowOff>
    </xdr:from>
    <xdr:to>
      <xdr:col>30</xdr:col>
      <xdr:colOff>1923677</xdr:colOff>
      <xdr:row>108</xdr:row>
      <xdr:rowOff>0</xdr:rowOff>
    </xdr:to>
    <xdr:sp macro="" textlink="">
      <xdr:nvSpPr>
        <xdr:cNvPr id="172" name="Cerrar llave 171">
          <a:extLst>
            <a:ext uri="{FF2B5EF4-FFF2-40B4-BE49-F238E27FC236}">
              <a16:creationId xmlns:a16="http://schemas.microsoft.com/office/drawing/2014/main" id="{66B20EC2-7689-417C-B22A-6DF4A62AF5B9}"/>
            </a:ext>
          </a:extLst>
        </xdr:cNvPr>
        <xdr:cNvSpPr/>
      </xdr:nvSpPr>
      <xdr:spPr>
        <a:xfrm>
          <a:off x="144408525" y="143017875"/>
          <a:ext cx="1923677" cy="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53975</xdr:colOff>
      <xdr:row>20</xdr:row>
      <xdr:rowOff>990600</xdr:rowOff>
    </xdr:from>
    <xdr:to>
      <xdr:col>30</xdr:col>
      <xdr:colOff>1800225</xdr:colOff>
      <xdr:row>22</xdr:row>
      <xdr:rowOff>958850</xdr:rowOff>
    </xdr:to>
    <xdr:sp macro="" textlink="">
      <xdr:nvSpPr>
        <xdr:cNvPr id="173" name="Cerrar llave 172">
          <a:extLst>
            <a:ext uri="{FF2B5EF4-FFF2-40B4-BE49-F238E27FC236}">
              <a16:creationId xmlns:a16="http://schemas.microsoft.com/office/drawing/2014/main" id="{9A5E89A5-1CF0-45B7-B3D5-4BCC53857DCA}"/>
            </a:ext>
          </a:extLst>
        </xdr:cNvPr>
        <xdr:cNvSpPr/>
      </xdr:nvSpPr>
      <xdr:spPr>
        <a:xfrm>
          <a:off x="144462500" y="30337125"/>
          <a:ext cx="1746250" cy="276860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16D61-1387-43E7-AAB8-12891EF5AEBF}">
  <dimension ref="A1:AN196"/>
  <sheetViews>
    <sheetView tabSelected="1" topLeftCell="A169" zoomScale="10" zoomScaleNormal="10" zoomScaleSheetLayoutView="10" workbookViewId="0">
      <selection activeCell="G197" sqref="G197"/>
    </sheetView>
  </sheetViews>
  <sheetFormatPr baseColWidth="10" defaultRowHeight="165" x14ac:dyDescent="2.35"/>
  <cols>
    <col min="1" max="1" width="18.5703125" customWidth="1"/>
    <col min="2" max="2" width="192" style="106" customWidth="1"/>
    <col min="3" max="22" width="58.7109375" style="54" customWidth="1"/>
    <col min="23" max="23" width="84.28515625" style="54" customWidth="1"/>
    <col min="24" max="24" width="95.7109375" style="124" customWidth="1"/>
    <col min="25" max="25" width="73" style="54" bestFit="1" customWidth="1"/>
    <col min="26" max="26" width="115.42578125" style="54" customWidth="1"/>
    <col min="27" max="27" width="177.5703125" style="109" customWidth="1"/>
    <col min="28" max="29" width="63" style="109" bestFit="1" customWidth="1"/>
    <col min="30" max="30" width="132" style="102" customWidth="1"/>
    <col min="31" max="31" width="33.28515625" style="102" customWidth="1"/>
    <col min="32" max="32" width="22.7109375" style="2" customWidth="1"/>
    <col min="33" max="33" width="32.5703125" style="2" customWidth="1"/>
    <col min="34" max="34" width="23.28515625" style="2" customWidth="1"/>
    <col min="35" max="35" width="11.42578125" style="2"/>
    <col min="36" max="36" width="35.28515625" style="2" customWidth="1"/>
    <col min="37" max="37" width="31.5703125" style="3" customWidth="1"/>
    <col min="38" max="38" width="11.42578125" style="3"/>
  </cols>
  <sheetData>
    <row r="1" spans="1:40" ht="126" customHeight="1" x14ac:dyDescent="2.35">
      <c r="B1" s="169" t="s">
        <v>0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"/>
      <c r="AF1" s="1"/>
    </row>
    <row r="2" spans="1:40" s="4" customFormat="1" ht="138" customHeight="1" x14ac:dyDescent="2.35">
      <c r="B2" s="167" t="s">
        <v>1</v>
      </c>
      <c r="C2" s="135" t="s">
        <v>2</v>
      </c>
      <c r="D2" s="136"/>
      <c r="E2" s="135" t="s">
        <v>3</v>
      </c>
      <c r="F2" s="136"/>
      <c r="G2" s="135" t="s">
        <v>4</v>
      </c>
      <c r="H2" s="136"/>
      <c r="I2" s="135" t="s">
        <v>5</v>
      </c>
      <c r="J2" s="136"/>
      <c r="K2" s="135" t="s">
        <v>6</v>
      </c>
      <c r="L2" s="136"/>
      <c r="M2" s="135" t="s">
        <v>7</v>
      </c>
      <c r="N2" s="136"/>
      <c r="O2" s="135" t="s">
        <v>8</v>
      </c>
      <c r="P2" s="136"/>
      <c r="Q2" s="135" t="s">
        <v>9</v>
      </c>
      <c r="R2" s="136"/>
      <c r="S2" s="135" t="s">
        <v>10</v>
      </c>
      <c r="T2" s="136"/>
      <c r="U2" s="135" t="s">
        <v>11</v>
      </c>
      <c r="V2" s="136"/>
      <c r="W2" s="167" t="s">
        <v>12</v>
      </c>
      <c r="X2" s="242" t="s">
        <v>209</v>
      </c>
      <c r="Y2" s="167" t="s">
        <v>13</v>
      </c>
      <c r="Z2" s="167" t="s">
        <v>14</v>
      </c>
      <c r="AA2" s="167" t="s">
        <v>1</v>
      </c>
      <c r="AB2" s="139" t="s">
        <v>15</v>
      </c>
      <c r="AC2" s="140"/>
      <c r="AD2" s="6" t="s">
        <v>16</v>
      </c>
      <c r="AE2" s="7"/>
      <c r="AF2" s="2"/>
      <c r="AG2" s="2"/>
      <c r="AH2" s="2"/>
      <c r="AI2" s="2"/>
      <c r="AJ2" s="2"/>
      <c r="AK2" s="8"/>
      <c r="AL2" s="8"/>
    </row>
    <row r="3" spans="1:40" s="4" customFormat="1" ht="138" customHeight="1" thickBot="1" x14ac:dyDescent="2.4">
      <c r="B3" s="168"/>
      <c r="C3" s="9" t="s">
        <v>17</v>
      </c>
      <c r="D3" s="9" t="s">
        <v>18</v>
      </c>
      <c r="E3" s="9" t="s">
        <v>17</v>
      </c>
      <c r="F3" s="9" t="s">
        <v>18</v>
      </c>
      <c r="G3" s="9" t="s">
        <v>17</v>
      </c>
      <c r="H3" s="9" t="s">
        <v>18</v>
      </c>
      <c r="I3" s="9" t="s">
        <v>17</v>
      </c>
      <c r="J3" s="9" t="s">
        <v>18</v>
      </c>
      <c r="K3" s="9" t="s">
        <v>17</v>
      </c>
      <c r="L3" s="9" t="s">
        <v>18</v>
      </c>
      <c r="M3" s="9" t="s">
        <v>17</v>
      </c>
      <c r="N3" s="9" t="s">
        <v>18</v>
      </c>
      <c r="O3" s="9" t="s">
        <v>17</v>
      </c>
      <c r="P3" s="9" t="s">
        <v>18</v>
      </c>
      <c r="Q3" s="9" t="s">
        <v>17</v>
      </c>
      <c r="R3" s="9" t="s">
        <v>18</v>
      </c>
      <c r="S3" s="9" t="s">
        <v>17</v>
      </c>
      <c r="T3" s="9" t="s">
        <v>18</v>
      </c>
      <c r="U3" s="9" t="s">
        <v>17</v>
      </c>
      <c r="V3" s="9" t="s">
        <v>18</v>
      </c>
      <c r="W3" s="168"/>
      <c r="X3" s="243"/>
      <c r="Y3" s="168"/>
      <c r="Z3" s="168"/>
      <c r="AA3" s="168"/>
      <c r="AB3" s="10"/>
      <c r="AC3" s="11"/>
      <c r="AD3" s="6"/>
      <c r="AE3" s="7"/>
      <c r="AF3" s="2"/>
      <c r="AG3" s="2"/>
      <c r="AH3" s="2"/>
      <c r="AI3" s="2"/>
      <c r="AJ3" s="2"/>
      <c r="AK3" s="8"/>
      <c r="AL3" s="8"/>
    </row>
    <row r="4" spans="1:40" s="12" customFormat="1" ht="110.25" customHeight="1" x14ac:dyDescent="2.1">
      <c r="B4" s="13" t="s">
        <v>19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12">
        <v>0</v>
      </c>
      <c r="Y4" s="14">
        <f>SUM(C4,E4,G4,I4,K4,,M4,O4,Q4,S4,U4,W4)</f>
        <v>0</v>
      </c>
      <c r="Z4" s="226">
        <f>SUM(D9,F9,H9,J9,L9,,N9,P9,R9,T9,V9)</f>
        <v>0</v>
      </c>
      <c r="AA4" s="15" t="s">
        <v>19</v>
      </c>
      <c r="AC4" s="155">
        <f>SUM(Y4,AB5,AB6,AB7,AB8)</f>
        <v>0</v>
      </c>
      <c r="AD4" s="16">
        <f>X4</f>
        <v>0</v>
      </c>
      <c r="AE4" s="17"/>
      <c r="AF4" s="188" t="s">
        <v>20</v>
      </c>
      <c r="AG4" s="189"/>
      <c r="AH4" s="189"/>
      <c r="AI4" s="189"/>
      <c r="AJ4" s="190"/>
      <c r="AK4" s="229">
        <f>SUM(AD4:AD59)-AD20</f>
        <v>0</v>
      </c>
      <c r="AL4" s="230"/>
    </row>
    <row r="5" spans="1:40" s="12" customFormat="1" ht="110.25" customHeight="1" x14ac:dyDescent="2.1">
      <c r="B5" s="13" t="s">
        <v>21</v>
      </c>
      <c r="C5" s="19">
        <v>0</v>
      </c>
      <c r="D5" s="20"/>
      <c r="E5" s="19">
        <v>0</v>
      </c>
      <c r="F5" s="20"/>
      <c r="G5" s="19">
        <v>0</v>
      </c>
      <c r="H5" s="20"/>
      <c r="I5" s="19">
        <v>0</v>
      </c>
      <c r="J5" s="20"/>
      <c r="K5" s="19">
        <v>0</v>
      </c>
      <c r="L5" s="20"/>
      <c r="M5" s="19">
        <v>0</v>
      </c>
      <c r="N5" s="20"/>
      <c r="O5" s="19">
        <v>0</v>
      </c>
      <c r="P5" s="20"/>
      <c r="Q5" s="19">
        <v>0</v>
      </c>
      <c r="R5" s="20"/>
      <c r="S5" s="19">
        <v>0</v>
      </c>
      <c r="T5" s="20"/>
      <c r="U5" s="19">
        <v>0</v>
      </c>
      <c r="V5" s="20"/>
      <c r="W5" s="14">
        <v>0</v>
      </c>
      <c r="X5" s="112">
        <v>0</v>
      </c>
      <c r="Y5" s="14">
        <f>SUM(C5:W5)</f>
        <v>0</v>
      </c>
      <c r="Z5" s="227"/>
      <c r="AA5" s="13" t="s">
        <v>21</v>
      </c>
      <c r="AB5" s="21">
        <f>Y5*4</f>
        <v>0</v>
      </c>
      <c r="AC5" s="157"/>
      <c r="AD5" s="16">
        <f>X5</f>
        <v>0</v>
      </c>
      <c r="AE5" s="17"/>
      <c r="AF5" s="191"/>
      <c r="AG5" s="192"/>
      <c r="AH5" s="192"/>
      <c r="AI5" s="192"/>
      <c r="AJ5" s="193"/>
      <c r="AK5" s="231"/>
      <c r="AL5" s="230"/>
    </row>
    <row r="6" spans="1:40" s="12" customFormat="1" ht="110.25" customHeight="1" x14ac:dyDescent="2.1">
      <c r="B6" s="13" t="s">
        <v>22</v>
      </c>
      <c r="C6" s="19">
        <v>0</v>
      </c>
      <c r="D6" s="20"/>
      <c r="E6" s="19">
        <v>0</v>
      </c>
      <c r="F6" s="20"/>
      <c r="G6" s="19">
        <v>0</v>
      </c>
      <c r="H6" s="20"/>
      <c r="I6" s="19">
        <v>0</v>
      </c>
      <c r="J6" s="20"/>
      <c r="K6" s="19">
        <v>0</v>
      </c>
      <c r="L6" s="20"/>
      <c r="M6" s="19">
        <v>0</v>
      </c>
      <c r="N6" s="20"/>
      <c r="O6" s="19">
        <v>0</v>
      </c>
      <c r="P6" s="20"/>
      <c r="Q6" s="19">
        <v>0</v>
      </c>
      <c r="R6" s="20"/>
      <c r="S6" s="19">
        <v>0</v>
      </c>
      <c r="T6" s="20"/>
      <c r="U6" s="19">
        <v>0</v>
      </c>
      <c r="V6" s="20"/>
      <c r="W6" s="14">
        <v>0</v>
      </c>
      <c r="X6" s="112">
        <v>0</v>
      </c>
      <c r="Y6" s="14">
        <f>SUM(C6:W6)</f>
        <v>0</v>
      </c>
      <c r="Z6" s="227"/>
      <c r="AA6" s="15" t="s">
        <v>23</v>
      </c>
      <c r="AB6" s="21">
        <f>Y6*8</f>
        <v>0</v>
      </c>
      <c r="AC6" s="157"/>
      <c r="AD6" s="16">
        <f t="shared" ref="AD6:AD7" si="0">X6</f>
        <v>0</v>
      </c>
      <c r="AE6" s="17"/>
      <c r="AF6" s="191"/>
      <c r="AG6" s="192"/>
      <c r="AH6" s="192"/>
      <c r="AI6" s="192"/>
      <c r="AJ6" s="193"/>
      <c r="AK6" s="231"/>
      <c r="AL6" s="230"/>
    </row>
    <row r="7" spans="1:40" s="12" customFormat="1" ht="110.25" customHeight="1" x14ac:dyDescent="2.1">
      <c r="B7" s="13" t="s">
        <v>24</v>
      </c>
      <c r="C7" s="19">
        <v>0</v>
      </c>
      <c r="D7" s="20"/>
      <c r="E7" s="19">
        <v>0</v>
      </c>
      <c r="F7" s="20"/>
      <c r="G7" s="19">
        <v>0</v>
      </c>
      <c r="H7" s="20"/>
      <c r="I7" s="19">
        <v>0</v>
      </c>
      <c r="J7" s="20"/>
      <c r="K7" s="19">
        <v>0</v>
      </c>
      <c r="L7" s="20"/>
      <c r="M7" s="19">
        <v>0</v>
      </c>
      <c r="N7" s="20"/>
      <c r="O7" s="19">
        <v>0</v>
      </c>
      <c r="P7" s="20"/>
      <c r="Q7" s="19">
        <v>0</v>
      </c>
      <c r="R7" s="20"/>
      <c r="S7" s="19">
        <v>0</v>
      </c>
      <c r="T7" s="20"/>
      <c r="U7" s="19">
        <v>0</v>
      </c>
      <c r="V7" s="20"/>
      <c r="W7" s="14">
        <v>0</v>
      </c>
      <c r="X7" s="112">
        <v>0</v>
      </c>
      <c r="Y7" s="14">
        <f>SUM(C7:W7)</f>
        <v>0</v>
      </c>
      <c r="Z7" s="227"/>
      <c r="AA7" s="15" t="s">
        <v>25</v>
      </c>
      <c r="AB7" s="21">
        <f>Y7*12</f>
        <v>0</v>
      </c>
      <c r="AC7" s="157"/>
      <c r="AD7" s="16">
        <f t="shared" si="0"/>
        <v>0</v>
      </c>
      <c r="AE7" s="17"/>
      <c r="AF7" s="166">
        <f>SUM(AD4:AD8)</f>
        <v>0</v>
      </c>
      <c r="AG7" s="164"/>
      <c r="AH7" s="164"/>
      <c r="AI7" s="164"/>
      <c r="AJ7" s="165"/>
      <c r="AK7" s="231"/>
      <c r="AL7" s="230"/>
    </row>
    <row r="8" spans="1:40" s="12" customFormat="1" ht="146.25" x14ac:dyDescent="2.1">
      <c r="B8" s="13" t="s">
        <v>26</v>
      </c>
      <c r="C8" s="19">
        <v>0</v>
      </c>
      <c r="D8" s="20"/>
      <c r="E8" s="19">
        <v>0</v>
      </c>
      <c r="F8" s="20"/>
      <c r="G8" s="19">
        <v>0</v>
      </c>
      <c r="H8" s="20"/>
      <c r="I8" s="19">
        <v>0</v>
      </c>
      <c r="J8" s="20"/>
      <c r="K8" s="19">
        <v>0</v>
      </c>
      <c r="L8" s="20"/>
      <c r="M8" s="19">
        <v>0</v>
      </c>
      <c r="N8" s="20"/>
      <c r="O8" s="19">
        <v>0</v>
      </c>
      <c r="P8" s="20"/>
      <c r="Q8" s="19">
        <v>0</v>
      </c>
      <c r="R8" s="20"/>
      <c r="S8" s="19">
        <v>0</v>
      </c>
      <c r="T8" s="20"/>
      <c r="U8" s="19">
        <v>0</v>
      </c>
      <c r="V8" s="20"/>
      <c r="W8" s="14">
        <v>0</v>
      </c>
      <c r="X8" s="112">
        <v>0</v>
      </c>
      <c r="Y8" s="14">
        <f>SUM(C8:W8)</f>
        <v>0</v>
      </c>
      <c r="Z8" s="228"/>
      <c r="AA8" s="15" t="s">
        <v>27</v>
      </c>
      <c r="AB8" s="21">
        <f>Y8*16</f>
        <v>0</v>
      </c>
      <c r="AC8" s="159"/>
      <c r="AD8" s="16">
        <f>X8</f>
        <v>0</v>
      </c>
      <c r="AE8" s="17"/>
      <c r="AF8" s="26"/>
      <c r="AG8" s="27"/>
      <c r="AH8" s="27"/>
      <c r="AI8" s="27"/>
      <c r="AJ8" s="28"/>
      <c r="AK8" s="231"/>
      <c r="AL8" s="230"/>
      <c r="AM8" s="29"/>
      <c r="AN8" s="29"/>
    </row>
    <row r="9" spans="1:40" s="12" customFormat="1" ht="110.25" customHeight="1" thickBot="1" x14ac:dyDescent="2.15">
      <c r="B9" s="13"/>
      <c r="C9" s="30">
        <f>C4+(C5*4)+(C6*8)+(C7*12)+(C8*16)</f>
        <v>0</v>
      </c>
      <c r="D9" s="30">
        <f>D4</f>
        <v>0</v>
      </c>
      <c r="E9" s="30">
        <f>E4+(E5*4)+(E6*8)+(E7*12)+(E8*16)</f>
        <v>0</v>
      </c>
      <c r="F9" s="30">
        <f>F4</f>
        <v>0</v>
      </c>
      <c r="G9" s="30">
        <f>G4+(G5*4)+(G6*8)+(G7*12)+(G8*16)</f>
        <v>0</v>
      </c>
      <c r="H9" s="30">
        <f>H4</f>
        <v>0</v>
      </c>
      <c r="I9" s="30">
        <f>I4+(I5*4)+(I6*8)+(I7*12)+(I8*16)</f>
        <v>0</v>
      </c>
      <c r="J9" s="30">
        <f>J4</f>
        <v>0</v>
      </c>
      <c r="K9" s="30">
        <f>K4+(K5*4)+(K6*8)+(K7*12)+(K8*16)</f>
        <v>0</v>
      </c>
      <c r="L9" s="30">
        <f>L4</f>
        <v>0</v>
      </c>
      <c r="M9" s="30">
        <f>M4+(M5*4)+(M6*8)+(M7*12)+(M8*16)</f>
        <v>0</v>
      </c>
      <c r="N9" s="30">
        <f>N4</f>
        <v>0</v>
      </c>
      <c r="O9" s="30">
        <f>O4+(O5*4)+(O6*8)+(O7*12)+(O8*16)</f>
        <v>0</v>
      </c>
      <c r="P9" s="30">
        <f>P4</f>
        <v>0</v>
      </c>
      <c r="Q9" s="30">
        <f>Q4+(Q5*4)+(Q6*8)+(Q7*12)+(Q8*16)</f>
        <v>0</v>
      </c>
      <c r="R9" s="30">
        <f>R4</f>
        <v>0</v>
      </c>
      <c r="S9" s="30">
        <f>S4+(S5*4)+(S6*8)+(S7*12)+(S8*16)</f>
        <v>0</v>
      </c>
      <c r="T9" s="30">
        <f>T4</f>
        <v>0</v>
      </c>
      <c r="U9" s="30">
        <f>U4+(U5*4)+(U6*8)+(U7*12)+(U8*16)</f>
        <v>0</v>
      </c>
      <c r="V9" s="30">
        <f>V4</f>
        <v>0</v>
      </c>
      <c r="W9" s="30">
        <f>W4+(W5*4)+(W6*8)+(W7*12)+(W8*16)</f>
        <v>0</v>
      </c>
      <c r="X9" s="113"/>
      <c r="Y9" s="14"/>
      <c r="Z9" s="14"/>
      <c r="AA9" s="15"/>
      <c r="AB9" s="31"/>
      <c r="AC9" s="32"/>
      <c r="AD9" s="16">
        <f>X9</f>
        <v>0</v>
      </c>
      <c r="AE9" s="17"/>
      <c r="AF9" s="34"/>
      <c r="AG9" s="35"/>
      <c r="AH9" s="35"/>
      <c r="AI9" s="35"/>
      <c r="AJ9" s="36"/>
      <c r="AK9" s="231"/>
      <c r="AL9" s="230"/>
      <c r="AM9" s="29"/>
      <c r="AN9" s="29"/>
    </row>
    <row r="10" spans="1:40" s="29" customFormat="1" ht="110.25" customHeight="1" x14ac:dyDescent="2.1">
      <c r="B10" s="37" t="s">
        <v>28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12">
        <v>0</v>
      </c>
      <c r="Y10" s="14">
        <f>SUM(C10,E10,G10,I10,K10,,M10,O10,Q10,S10,U10,W10)</f>
        <v>0</v>
      </c>
      <c r="Z10" s="14">
        <f>SUM(D10,F10,H10,J10,L10,,N10,P10,R10,T10,V10)</f>
        <v>0</v>
      </c>
      <c r="AA10" s="38" t="s">
        <v>28</v>
      </c>
      <c r="AB10" s="232">
        <f>SUM(Y10:Y13)</f>
        <v>0</v>
      </c>
      <c r="AC10" s="219">
        <f>SUM(AB10,AB15)</f>
        <v>0</v>
      </c>
      <c r="AD10" s="16">
        <f>X10</f>
        <v>0</v>
      </c>
      <c r="AE10" s="17"/>
      <c r="AF10" s="160" t="s">
        <v>29</v>
      </c>
      <c r="AG10" s="161"/>
      <c r="AH10" s="161"/>
      <c r="AI10" s="161"/>
      <c r="AJ10" s="162"/>
      <c r="AK10" s="231"/>
      <c r="AL10" s="230"/>
      <c r="AM10" s="12"/>
      <c r="AN10" s="12"/>
    </row>
    <row r="11" spans="1:40" s="12" customFormat="1" ht="110.25" customHeight="1" x14ac:dyDescent="2.1">
      <c r="A11" s="12">
        <v>0</v>
      </c>
      <c r="B11" s="13" t="s">
        <v>30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12">
        <v>0</v>
      </c>
      <c r="Y11" s="14">
        <f>SUM(C11,E11,G11,I11,K11,,M11,O11,Q11,S11,U11,W11)</f>
        <v>0</v>
      </c>
      <c r="Z11" s="14">
        <f>SUM(D11,F11,H11,J11,L11,,N11,P11,R11,T11,V11)</f>
        <v>0</v>
      </c>
      <c r="AA11" s="13" t="s">
        <v>30</v>
      </c>
      <c r="AB11" s="233"/>
      <c r="AC11" s="235"/>
      <c r="AD11" s="16">
        <f t="shared" ref="AD11:AD13" si="1">X11</f>
        <v>0</v>
      </c>
      <c r="AE11" s="17"/>
      <c r="AF11" s="163"/>
      <c r="AG11" s="164"/>
      <c r="AH11" s="164"/>
      <c r="AI11" s="164"/>
      <c r="AJ11" s="165"/>
      <c r="AK11" s="231"/>
      <c r="AL11" s="230"/>
    </row>
    <row r="12" spans="1:40" s="12" customFormat="1" ht="108.75" customHeight="1" x14ac:dyDescent="2.1">
      <c r="B12" s="13" t="s">
        <v>31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12">
        <v>0</v>
      </c>
      <c r="Y12" s="14">
        <f>SUM(C12,E12,G12,I12,K12,,M12,O12,Q12,S12,U12,W12)</f>
        <v>0</v>
      </c>
      <c r="Z12" s="14">
        <f>SUM(D12,F12,H12,J12,L12,,N12,P12,R12,T12,V12)</f>
        <v>0</v>
      </c>
      <c r="AA12" s="13" t="s">
        <v>31</v>
      </c>
      <c r="AB12" s="233"/>
      <c r="AC12" s="235"/>
      <c r="AD12" s="16">
        <f t="shared" si="1"/>
        <v>0</v>
      </c>
      <c r="AE12" s="17"/>
      <c r="AF12" s="163"/>
      <c r="AG12" s="164"/>
      <c r="AH12" s="164"/>
      <c r="AI12" s="164"/>
      <c r="AJ12" s="165"/>
      <c r="AK12" s="231"/>
      <c r="AL12" s="230"/>
    </row>
    <row r="13" spans="1:40" s="12" customFormat="1" ht="110.25" customHeight="1" x14ac:dyDescent="2.1">
      <c r="B13" s="13" t="s">
        <v>32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12">
        <v>0</v>
      </c>
      <c r="Y13" s="14">
        <f>SUM(C13,E13,G13,I13,K13,,M13,O13,Q13,S13,U13,W13)</f>
        <v>0</v>
      </c>
      <c r="Z13" s="14">
        <f>SUM(D13,F13,H13,J13,L13,,N13,P13,R13,T13,V13)</f>
        <v>0</v>
      </c>
      <c r="AA13" s="13" t="s">
        <v>32</v>
      </c>
      <c r="AB13" s="234"/>
      <c r="AC13" s="235"/>
      <c r="AD13" s="16">
        <f t="shared" si="1"/>
        <v>0</v>
      </c>
      <c r="AE13" s="17"/>
      <c r="AF13" s="163"/>
      <c r="AG13" s="164"/>
      <c r="AH13" s="164"/>
      <c r="AI13" s="164"/>
      <c r="AJ13" s="165"/>
      <c r="AK13" s="231"/>
      <c r="AL13" s="230"/>
    </row>
    <row r="14" spans="1:40" s="12" customFormat="1" ht="110.25" customHeight="1" x14ac:dyDescent="2.1">
      <c r="B14" s="13"/>
      <c r="C14" s="40">
        <f>SUM(C10:C13)</f>
        <v>0</v>
      </c>
      <c r="D14" s="30">
        <f t="shared" ref="D14:W14" si="2">SUM(D10:D13)</f>
        <v>0</v>
      </c>
      <c r="E14" s="30">
        <f t="shared" si="2"/>
        <v>0</v>
      </c>
      <c r="F14" s="30">
        <f>SUM(F10:F13)</f>
        <v>0</v>
      </c>
      <c r="G14" s="30">
        <f t="shared" si="2"/>
        <v>0</v>
      </c>
      <c r="H14" s="30">
        <f t="shared" si="2"/>
        <v>0</v>
      </c>
      <c r="I14" s="30">
        <f t="shared" si="2"/>
        <v>0</v>
      </c>
      <c r="J14" s="30">
        <f t="shared" si="2"/>
        <v>0</v>
      </c>
      <c r="K14" s="30">
        <f t="shared" si="2"/>
        <v>0</v>
      </c>
      <c r="L14" s="30">
        <f t="shared" si="2"/>
        <v>0</v>
      </c>
      <c r="M14" s="30">
        <f t="shared" si="2"/>
        <v>0</v>
      </c>
      <c r="N14" s="30">
        <f t="shared" si="2"/>
        <v>0</v>
      </c>
      <c r="O14" s="30">
        <f t="shared" si="2"/>
        <v>0</v>
      </c>
      <c r="P14" s="30">
        <f t="shared" si="2"/>
        <v>0</v>
      </c>
      <c r="Q14" s="30">
        <f t="shared" si="2"/>
        <v>0</v>
      </c>
      <c r="R14" s="30">
        <f t="shared" si="2"/>
        <v>0</v>
      </c>
      <c r="S14" s="30">
        <f t="shared" si="2"/>
        <v>0</v>
      </c>
      <c r="T14" s="30">
        <f t="shared" si="2"/>
        <v>0</v>
      </c>
      <c r="U14" s="30">
        <f t="shared" si="2"/>
        <v>0</v>
      </c>
      <c r="V14" s="30">
        <f t="shared" si="2"/>
        <v>0</v>
      </c>
      <c r="W14" s="30">
        <f t="shared" si="2"/>
        <v>0</v>
      </c>
      <c r="X14" s="113"/>
      <c r="Y14" s="14"/>
      <c r="Z14" s="41"/>
      <c r="AA14" s="42"/>
      <c r="AB14" s="13"/>
      <c r="AC14" s="235"/>
      <c r="AD14" s="33"/>
      <c r="AE14" s="17"/>
      <c r="AF14" s="163"/>
      <c r="AG14" s="164"/>
      <c r="AH14" s="164"/>
      <c r="AI14" s="164"/>
      <c r="AJ14" s="165"/>
      <c r="AK14" s="231"/>
      <c r="AL14" s="230"/>
    </row>
    <row r="15" spans="1:40" s="12" customFormat="1" ht="110.25" customHeight="1" x14ac:dyDescent="2.1">
      <c r="B15" s="13" t="s">
        <v>33</v>
      </c>
      <c r="C15" s="43">
        <v>0</v>
      </c>
      <c r="D15" s="43">
        <v>0</v>
      </c>
      <c r="E15" s="43">
        <v>0</v>
      </c>
      <c r="F15" s="43">
        <v>0</v>
      </c>
      <c r="G15" s="43">
        <v>0</v>
      </c>
      <c r="H15" s="43">
        <v>0</v>
      </c>
      <c r="I15" s="43">
        <v>0</v>
      </c>
      <c r="J15" s="43">
        <v>0</v>
      </c>
      <c r="K15" s="43">
        <v>0</v>
      </c>
      <c r="L15" s="43">
        <v>0</v>
      </c>
      <c r="M15" s="43">
        <v>0</v>
      </c>
      <c r="N15" s="43">
        <v>0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43">
        <v>0</v>
      </c>
      <c r="W15" s="43">
        <v>0</v>
      </c>
      <c r="X15" s="114">
        <v>0</v>
      </c>
      <c r="Y15" s="14">
        <f t="shared" ref="Y15:Y20" si="3">SUM(C15,E15,G15,I15,K15,,M15,O15,Q15,S15,U15,W15)</f>
        <v>0</v>
      </c>
      <c r="Z15" s="14">
        <f t="shared" ref="Z15:Z20" si="4">SUM(D15,F15,H15,J15,L15,,N15,P15,R15,T15,V15)</f>
        <v>0</v>
      </c>
      <c r="AA15" s="13" t="s">
        <v>33</v>
      </c>
      <c r="AB15" s="232">
        <f>SUM(Y15:Y18)</f>
        <v>0</v>
      </c>
      <c r="AC15" s="235"/>
      <c r="AD15" s="16">
        <f>X15</f>
        <v>0</v>
      </c>
      <c r="AE15" s="17"/>
      <c r="AF15" s="166">
        <f>SUM(AD10:AD20)-AD20</f>
        <v>0</v>
      </c>
      <c r="AG15" s="164"/>
      <c r="AH15" s="164"/>
      <c r="AI15" s="164"/>
      <c r="AJ15" s="165"/>
      <c r="AK15" s="231"/>
      <c r="AL15" s="230"/>
    </row>
    <row r="16" spans="1:40" s="12" customFormat="1" ht="110.25" customHeight="1" x14ac:dyDescent="2.1">
      <c r="B16" s="13" t="s">
        <v>34</v>
      </c>
      <c r="C16" s="43">
        <v>0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115">
        <v>0</v>
      </c>
      <c r="Y16" s="14">
        <f t="shared" si="3"/>
        <v>0</v>
      </c>
      <c r="Z16" s="14">
        <f t="shared" si="4"/>
        <v>0</v>
      </c>
      <c r="AA16" s="13" t="s">
        <v>34</v>
      </c>
      <c r="AB16" s="233"/>
      <c r="AC16" s="235"/>
      <c r="AD16" s="16">
        <f t="shared" ref="AD16:AD20" si="5">X16</f>
        <v>0</v>
      </c>
      <c r="AE16" s="17"/>
      <c r="AF16" s="26"/>
      <c r="AG16" s="27"/>
      <c r="AH16" s="27"/>
      <c r="AI16" s="27"/>
      <c r="AJ16" s="28"/>
      <c r="AK16" s="231"/>
      <c r="AL16" s="230"/>
    </row>
    <row r="17" spans="1:38" s="12" customFormat="1" ht="110.25" customHeight="1" x14ac:dyDescent="2.1">
      <c r="B17" s="13" t="s">
        <v>35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0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3">
        <v>0</v>
      </c>
      <c r="X17" s="115">
        <v>0</v>
      </c>
      <c r="Y17" s="14">
        <f t="shared" si="3"/>
        <v>0</v>
      </c>
      <c r="Z17" s="14">
        <f t="shared" si="4"/>
        <v>0</v>
      </c>
      <c r="AA17" s="13" t="s">
        <v>35</v>
      </c>
      <c r="AB17" s="233"/>
      <c r="AC17" s="235"/>
      <c r="AD17" s="16">
        <f t="shared" si="5"/>
        <v>0</v>
      </c>
      <c r="AE17" s="17"/>
      <c r="AF17" s="26"/>
      <c r="AG17" s="27"/>
      <c r="AH17" s="27"/>
      <c r="AI17" s="27"/>
      <c r="AJ17" s="28"/>
      <c r="AK17" s="231"/>
      <c r="AL17" s="230"/>
    </row>
    <row r="18" spans="1:38" s="12" customFormat="1" ht="110.25" customHeight="1" x14ac:dyDescent="2.1">
      <c r="B18" s="13" t="s">
        <v>36</v>
      </c>
      <c r="C18" s="43">
        <v>0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3">
        <v>0</v>
      </c>
      <c r="X18" s="114">
        <v>0</v>
      </c>
      <c r="Y18" s="14">
        <f t="shared" si="3"/>
        <v>0</v>
      </c>
      <c r="Z18" s="14">
        <f t="shared" si="4"/>
        <v>0</v>
      </c>
      <c r="AA18" s="13" t="s">
        <v>36</v>
      </c>
      <c r="AB18" s="233"/>
      <c r="AC18" s="235"/>
      <c r="AD18" s="16">
        <f t="shared" si="5"/>
        <v>0</v>
      </c>
      <c r="AE18" s="17"/>
      <c r="AF18" s="26"/>
      <c r="AG18" s="27"/>
      <c r="AH18" s="27"/>
      <c r="AI18" s="27"/>
      <c r="AJ18" s="28"/>
      <c r="AK18" s="231"/>
      <c r="AL18" s="230"/>
    </row>
    <row r="19" spans="1:38" s="12" customFormat="1" ht="110.25" customHeight="1" x14ac:dyDescent="2.1">
      <c r="B19" s="13" t="s">
        <v>37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  <c r="V19" s="43">
        <v>0</v>
      </c>
      <c r="W19" s="43">
        <v>0</v>
      </c>
      <c r="X19" s="115">
        <v>0</v>
      </c>
      <c r="Y19" s="14">
        <f t="shared" si="3"/>
        <v>0</v>
      </c>
      <c r="Z19" s="14">
        <f t="shared" si="4"/>
        <v>0</v>
      </c>
      <c r="AA19" s="13" t="s">
        <v>37</v>
      </c>
      <c r="AB19" s="233"/>
      <c r="AC19" s="235"/>
      <c r="AD19" s="16">
        <f t="shared" si="5"/>
        <v>0</v>
      </c>
      <c r="AE19" s="17"/>
      <c r="AF19" s="26"/>
      <c r="AG19" s="27"/>
      <c r="AH19" s="27"/>
      <c r="AI19" s="27"/>
      <c r="AJ19" s="28"/>
      <c r="AK19" s="231"/>
      <c r="AL19" s="230"/>
    </row>
    <row r="20" spans="1:38" s="12" customFormat="1" ht="110.25" customHeight="1" thickBot="1" x14ac:dyDescent="2.15">
      <c r="B20" s="13" t="s">
        <v>38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s="43">
        <v>0</v>
      </c>
      <c r="X20" s="114">
        <v>0</v>
      </c>
      <c r="Y20" s="14">
        <f t="shared" si="3"/>
        <v>0</v>
      </c>
      <c r="Z20" s="14">
        <f t="shared" si="4"/>
        <v>0</v>
      </c>
      <c r="AA20" s="13" t="s">
        <v>38</v>
      </c>
      <c r="AB20" s="234"/>
      <c r="AC20" s="220"/>
      <c r="AD20" s="16">
        <f t="shared" si="5"/>
        <v>0</v>
      </c>
      <c r="AE20" s="17"/>
      <c r="AF20" s="26"/>
      <c r="AG20" s="27"/>
      <c r="AH20" s="27"/>
      <c r="AI20" s="27"/>
      <c r="AJ20" s="28"/>
      <c r="AK20" s="231"/>
      <c r="AL20" s="230"/>
    </row>
    <row r="21" spans="1:38" s="12" customFormat="1" ht="110.25" customHeight="1" x14ac:dyDescent="2.1">
      <c r="B21" s="13"/>
      <c r="C21" s="30">
        <f>SUM(C15:C20)</f>
        <v>0</v>
      </c>
      <c r="D21" s="30">
        <f t="shared" ref="D21:V21" si="6">SUM(D15:D20)</f>
        <v>0</v>
      </c>
      <c r="E21" s="30">
        <f t="shared" si="6"/>
        <v>0</v>
      </c>
      <c r="F21" s="30">
        <f t="shared" si="6"/>
        <v>0</v>
      </c>
      <c r="G21" s="30">
        <f t="shared" si="6"/>
        <v>0</v>
      </c>
      <c r="H21" s="30">
        <f t="shared" si="6"/>
        <v>0</v>
      </c>
      <c r="I21" s="30">
        <f t="shared" si="6"/>
        <v>0</v>
      </c>
      <c r="J21" s="30">
        <f t="shared" si="6"/>
        <v>0</v>
      </c>
      <c r="K21" s="30">
        <f t="shared" si="6"/>
        <v>0</v>
      </c>
      <c r="L21" s="30">
        <f t="shared" si="6"/>
        <v>0</v>
      </c>
      <c r="M21" s="30">
        <f t="shared" si="6"/>
        <v>0</v>
      </c>
      <c r="N21" s="30">
        <f t="shared" si="6"/>
        <v>0</v>
      </c>
      <c r="O21" s="30">
        <f t="shared" si="6"/>
        <v>0</v>
      </c>
      <c r="P21" s="30">
        <f t="shared" si="6"/>
        <v>0</v>
      </c>
      <c r="Q21" s="30">
        <f t="shared" si="6"/>
        <v>0</v>
      </c>
      <c r="R21" s="30">
        <f t="shared" si="6"/>
        <v>0</v>
      </c>
      <c r="S21" s="30">
        <f t="shared" si="6"/>
        <v>0</v>
      </c>
      <c r="T21" s="30">
        <f t="shared" si="6"/>
        <v>0</v>
      </c>
      <c r="U21" s="30">
        <f t="shared" si="6"/>
        <v>0</v>
      </c>
      <c r="V21" s="30">
        <f t="shared" si="6"/>
        <v>0</v>
      </c>
      <c r="W21" s="30">
        <f>SUM(W15:W20)</f>
        <v>0</v>
      </c>
      <c r="X21" s="113"/>
      <c r="Y21" s="14"/>
      <c r="Z21" s="14"/>
      <c r="AA21" s="42"/>
      <c r="AB21" s="186"/>
      <c r="AC21" s="187"/>
      <c r="AD21" s="33"/>
      <c r="AE21" s="17"/>
      <c r="AF21" s="160" t="s">
        <v>39</v>
      </c>
      <c r="AG21" s="161"/>
      <c r="AH21" s="161"/>
      <c r="AI21" s="161"/>
      <c r="AJ21" s="162"/>
      <c r="AK21" s="231"/>
      <c r="AL21" s="230"/>
    </row>
    <row r="22" spans="1:38" s="12" customFormat="1" ht="110.25" customHeight="1" x14ac:dyDescent="2.1">
      <c r="B22" s="13" t="s">
        <v>40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16">
        <v>0</v>
      </c>
      <c r="Y22" s="14">
        <f>SUM(C22,E22,G22,I22,K22,,M22,O22,Q22,S22,U22,W22)</f>
        <v>0</v>
      </c>
      <c r="Z22" s="14">
        <f>SUM(D22,F22,H22,J22,L22,,N22,P22,R22,T22,V22)</f>
        <v>0</v>
      </c>
      <c r="AA22" s="13" t="s">
        <v>40</v>
      </c>
      <c r="AB22" s="221"/>
      <c r="AC22" s="222"/>
      <c r="AD22" s="16">
        <f>X22</f>
        <v>0</v>
      </c>
      <c r="AE22" s="17"/>
      <c r="AF22" s="239">
        <f>SUM(AD22:AE22)</f>
        <v>0</v>
      </c>
      <c r="AG22" s="240"/>
      <c r="AH22" s="240"/>
      <c r="AI22" s="240"/>
      <c r="AJ22" s="241"/>
      <c r="AK22" s="22"/>
      <c r="AL22" s="18"/>
    </row>
    <row r="23" spans="1:38" s="12" customFormat="1" ht="110.25" customHeight="1" thickBot="1" x14ac:dyDescent="2.15">
      <c r="B23" s="13"/>
      <c r="C23" s="30">
        <f>SUM(C22)</f>
        <v>0</v>
      </c>
      <c r="D23" s="30">
        <f t="shared" ref="D23:W23" si="7">SUM(D22)</f>
        <v>0</v>
      </c>
      <c r="E23" s="30">
        <f t="shared" si="7"/>
        <v>0</v>
      </c>
      <c r="F23" s="30">
        <f t="shared" si="7"/>
        <v>0</v>
      </c>
      <c r="G23" s="30">
        <f t="shared" si="7"/>
        <v>0</v>
      </c>
      <c r="H23" s="30">
        <f t="shared" si="7"/>
        <v>0</v>
      </c>
      <c r="I23" s="30">
        <f t="shared" si="7"/>
        <v>0</v>
      </c>
      <c r="J23" s="30">
        <f t="shared" si="7"/>
        <v>0</v>
      </c>
      <c r="K23" s="30">
        <f t="shared" si="7"/>
        <v>0</v>
      </c>
      <c r="L23" s="30">
        <f t="shared" si="7"/>
        <v>0</v>
      </c>
      <c r="M23" s="30">
        <f t="shared" si="7"/>
        <v>0</v>
      </c>
      <c r="N23" s="30">
        <f t="shared" si="7"/>
        <v>0</v>
      </c>
      <c r="O23" s="30">
        <f t="shared" si="7"/>
        <v>0</v>
      </c>
      <c r="P23" s="30">
        <f t="shared" si="7"/>
        <v>0</v>
      </c>
      <c r="Q23" s="30">
        <f t="shared" si="7"/>
        <v>0</v>
      </c>
      <c r="R23" s="30">
        <f t="shared" si="7"/>
        <v>0</v>
      </c>
      <c r="S23" s="30">
        <f t="shared" si="7"/>
        <v>0</v>
      </c>
      <c r="T23" s="30">
        <f t="shared" si="7"/>
        <v>0</v>
      </c>
      <c r="U23" s="30">
        <f t="shared" si="7"/>
        <v>0</v>
      </c>
      <c r="V23" s="30">
        <f t="shared" si="7"/>
        <v>0</v>
      </c>
      <c r="W23" s="30">
        <f t="shared" si="7"/>
        <v>0</v>
      </c>
      <c r="X23" s="113"/>
      <c r="Y23" s="14"/>
      <c r="Z23" s="14"/>
      <c r="AA23" s="42"/>
      <c r="AB23" s="149"/>
      <c r="AC23" s="150"/>
      <c r="AD23" s="16">
        <f t="shared" ref="AD23:AD39" si="8">X23</f>
        <v>0</v>
      </c>
      <c r="AE23" s="17"/>
      <c r="AF23" s="34"/>
      <c r="AG23" s="35"/>
      <c r="AH23" s="35"/>
      <c r="AI23" s="35"/>
      <c r="AJ23" s="36"/>
      <c r="AK23" s="22"/>
      <c r="AL23" s="18"/>
    </row>
    <row r="24" spans="1:38" s="12" customFormat="1" ht="110.25" customHeight="1" x14ac:dyDescent="2.1">
      <c r="A24" s="12">
        <v>0</v>
      </c>
      <c r="B24" s="13" t="s">
        <v>41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12">
        <v>0</v>
      </c>
      <c r="Y24" s="14">
        <f>SUM(C24,E24,G24,I24,K24,,M24,O24,Q24,S24,U24,W24)</f>
        <v>0</v>
      </c>
      <c r="Z24" s="14">
        <f>SUM(D24,F24,H24,J24,L24,,N24,P24,R24,T24,V24)</f>
        <v>0</v>
      </c>
      <c r="AA24" s="13" t="s">
        <v>41</v>
      </c>
      <c r="AB24" s="171">
        <f>SUM(Y24:Y25)</f>
        <v>0</v>
      </c>
      <c r="AC24" s="172"/>
      <c r="AD24" s="16">
        <f t="shared" si="8"/>
        <v>0</v>
      </c>
      <c r="AE24" s="17"/>
      <c r="AF24" s="175" t="s">
        <v>42</v>
      </c>
      <c r="AG24" s="176"/>
      <c r="AH24" s="176"/>
      <c r="AI24" s="176"/>
      <c r="AJ24" s="223"/>
      <c r="AK24" s="236" t="s">
        <v>43</v>
      </c>
      <c r="AL24" s="237"/>
    </row>
    <row r="25" spans="1:38" s="12" customFormat="1" ht="110.25" customHeight="1" thickBot="1" x14ac:dyDescent="2.15">
      <c r="A25" s="12">
        <v>0</v>
      </c>
      <c r="B25" s="13" t="s">
        <v>44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12">
        <v>0</v>
      </c>
      <c r="Y25" s="14">
        <f>SUM(C25,E25,G25,I25,K25,,M25,O25,Q25,S25,U25,W25)</f>
        <v>0</v>
      </c>
      <c r="Z25" s="14">
        <f>SUM(D25,F25,H25,J25,L25,,N25,P25,R25,T25,V25)</f>
        <v>0</v>
      </c>
      <c r="AA25" s="13" t="s">
        <v>44</v>
      </c>
      <c r="AB25" s="173"/>
      <c r="AC25" s="174"/>
      <c r="AD25" s="16">
        <f t="shared" si="8"/>
        <v>0</v>
      </c>
      <c r="AE25" s="17"/>
      <c r="AF25" s="197">
        <f>SUM(AD24:AD25)</f>
        <v>0</v>
      </c>
      <c r="AG25" s="224"/>
      <c r="AH25" s="224"/>
      <c r="AI25" s="224"/>
      <c r="AJ25" s="225"/>
      <c r="AK25" s="236"/>
      <c r="AL25" s="237"/>
    </row>
    <row r="26" spans="1:38" s="12" customFormat="1" ht="110.25" customHeight="1" thickBot="1" x14ac:dyDescent="2.15">
      <c r="B26" s="13"/>
      <c r="C26" s="30">
        <f t="shared" ref="C26:W26" si="9">SUM(C24:C25)</f>
        <v>0</v>
      </c>
      <c r="D26" s="30">
        <f t="shared" si="9"/>
        <v>0</v>
      </c>
      <c r="E26" s="30">
        <f t="shared" si="9"/>
        <v>0</v>
      </c>
      <c r="F26" s="30">
        <f t="shared" si="9"/>
        <v>0</v>
      </c>
      <c r="G26" s="30">
        <f t="shared" si="9"/>
        <v>0</v>
      </c>
      <c r="H26" s="30">
        <f t="shared" si="9"/>
        <v>0</v>
      </c>
      <c r="I26" s="30">
        <f t="shared" si="9"/>
        <v>0</v>
      </c>
      <c r="J26" s="30">
        <f t="shared" si="9"/>
        <v>0</v>
      </c>
      <c r="K26" s="30">
        <f t="shared" si="9"/>
        <v>0</v>
      </c>
      <c r="L26" s="30">
        <f t="shared" si="9"/>
        <v>0</v>
      </c>
      <c r="M26" s="30">
        <f t="shared" si="9"/>
        <v>0</v>
      </c>
      <c r="N26" s="30">
        <f t="shared" si="9"/>
        <v>0</v>
      </c>
      <c r="O26" s="30">
        <f t="shared" si="9"/>
        <v>0</v>
      </c>
      <c r="P26" s="30">
        <f t="shared" si="9"/>
        <v>0</v>
      </c>
      <c r="Q26" s="30">
        <f t="shared" si="9"/>
        <v>0</v>
      </c>
      <c r="R26" s="30">
        <f t="shared" si="9"/>
        <v>0</v>
      </c>
      <c r="S26" s="30">
        <f t="shared" si="9"/>
        <v>0</v>
      </c>
      <c r="T26" s="30">
        <f t="shared" si="9"/>
        <v>0</v>
      </c>
      <c r="U26" s="30">
        <f t="shared" si="9"/>
        <v>0</v>
      </c>
      <c r="V26" s="30">
        <f t="shared" si="9"/>
        <v>0</v>
      </c>
      <c r="W26" s="30">
        <f t="shared" si="9"/>
        <v>0</v>
      </c>
      <c r="X26" s="113"/>
      <c r="Y26" s="14"/>
      <c r="Z26" s="14"/>
      <c r="AA26" s="13"/>
      <c r="AB26" s="149"/>
      <c r="AC26" s="150"/>
      <c r="AD26" s="16">
        <f t="shared" si="8"/>
        <v>0</v>
      </c>
      <c r="AE26" s="17"/>
      <c r="AF26" s="44"/>
      <c r="AG26" s="45"/>
      <c r="AH26" s="45"/>
      <c r="AI26" s="45"/>
      <c r="AJ26" s="46"/>
      <c r="AK26" s="236"/>
      <c r="AL26" s="237"/>
    </row>
    <row r="27" spans="1:38" s="12" customFormat="1" ht="110.25" customHeight="1" x14ac:dyDescent="2.1">
      <c r="A27" s="12">
        <v>0</v>
      </c>
      <c r="B27" s="13" t="s">
        <v>45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12">
        <v>0</v>
      </c>
      <c r="Y27" s="14">
        <f>SUM(C27,E27,G27,I27,K27,,M27,O27,Q27,S27,U27,W27)</f>
        <v>0</v>
      </c>
      <c r="Z27" s="14">
        <f>SUM(D27,F27,H27,J27,L27,,N27,P27,R27,T27,V27)</f>
        <v>0</v>
      </c>
      <c r="AA27" s="13" t="s">
        <v>45</v>
      </c>
      <c r="AB27" s="171">
        <f>SUM(Y26:Y28)</f>
        <v>0</v>
      </c>
      <c r="AC27" s="172"/>
      <c r="AD27" s="16">
        <f t="shared" si="8"/>
        <v>0</v>
      </c>
      <c r="AE27" s="17"/>
      <c r="AF27" s="175" t="s">
        <v>46</v>
      </c>
      <c r="AG27" s="176"/>
      <c r="AH27" s="176"/>
      <c r="AI27" s="176"/>
      <c r="AJ27" s="223"/>
      <c r="AK27" s="236"/>
      <c r="AL27" s="237"/>
    </row>
    <row r="28" spans="1:38" s="12" customFormat="1" ht="110.25" customHeight="1" thickBot="1" x14ac:dyDescent="2.15">
      <c r="A28" s="12">
        <v>0</v>
      </c>
      <c r="B28" s="13" t="s">
        <v>47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12">
        <v>0</v>
      </c>
      <c r="Y28" s="14">
        <f>SUM(C28,E28,G28,I28,K28,,M28,O28,Q28,S28,U28,W28)</f>
        <v>0</v>
      </c>
      <c r="Z28" s="14">
        <f>SUM(D28,F28,H28,J28,L28,,N28,P28,R28,T28,V28)</f>
        <v>0</v>
      </c>
      <c r="AA28" s="13" t="s">
        <v>47</v>
      </c>
      <c r="AB28" s="173"/>
      <c r="AC28" s="174"/>
      <c r="AD28" s="16">
        <f t="shared" si="8"/>
        <v>0</v>
      </c>
      <c r="AE28" s="17"/>
      <c r="AF28" s="197">
        <f>+AD27+AD31</f>
        <v>0</v>
      </c>
      <c r="AG28" s="224"/>
      <c r="AH28" s="224"/>
      <c r="AI28" s="224"/>
      <c r="AJ28" s="225"/>
      <c r="AK28" s="236"/>
      <c r="AL28" s="237"/>
    </row>
    <row r="29" spans="1:38" s="12" customFormat="1" ht="110.25" customHeight="1" thickBot="1" x14ac:dyDescent="2.15">
      <c r="B29" s="13"/>
      <c r="C29" s="30">
        <f t="shared" ref="C29:W29" si="10">SUM(C27:C28)</f>
        <v>0</v>
      </c>
      <c r="D29" s="30">
        <f t="shared" si="10"/>
        <v>0</v>
      </c>
      <c r="E29" s="30">
        <f t="shared" si="10"/>
        <v>0</v>
      </c>
      <c r="F29" s="30">
        <f t="shared" si="10"/>
        <v>0</v>
      </c>
      <c r="G29" s="30">
        <f t="shared" si="10"/>
        <v>0</v>
      </c>
      <c r="H29" s="30">
        <f t="shared" si="10"/>
        <v>0</v>
      </c>
      <c r="I29" s="30">
        <f t="shared" si="10"/>
        <v>0</v>
      </c>
      <c r="J29" s="30">
        <f t="shared" si="10"/>
        <v>0</v>
      </c>
      <c r="K29" s="30">
        <f t="shared" si="10"/>
        <v>0</v>
      </c>
      <c r="L29" s="30">
        <f t="shared" si="10"/>
        <v>0</v>
      </c>
      <c r="M29" s="30">
        <f t="shared" si="10"/>
        <v>0</v>
      </c>
      <c r="N29" s="30">
        <f t="shared" si="10"/>
        <v>0</v>
      </c>
      <c r="O29" s="30">
        <f t="shared" si="10"/>
        <v>0</v>
      </c>
      <c r="P29" s="30">
        <f t="shared" si="10"/>
        <v>0</v>
      </c>
      <c r="Q29" s="30">
        <f t="shared" si="10"/>
        <v>0</v>
      </c>
      <c r="R29" s="30">
        <f t="shared" si="10"/>
        <v>0</v>
      </c>
      <c r="S29" s="30">
        <f t="shared" si="10"/>
        <v>0</v>
      </c>
      <c r="T29" s="30">
        <f t="shared" si="10"/>
        <v>0</v>
      </c>
      <c r="U29" s="30">
        <f t="shared" si="10"/>
        <v>0</v>
      </c>
      <c r="V29" s="30">
        <f t="shared" si="10"/>
        <v>0</v>
      </c>
      <c r="W29" s="30">
        <f t="shared" si="10"/>
        <v>0</v>
      </c>
      <c r="X29" s="113"/>
      <c r="Y29" s="14"/>
      <c r="Z29" s="14"/>
      <c r="AA29" s="13"/>
      <c r="AB29" s="149"/>
      <c r="AC29" s="150"/>
      <c r="AD29" s="16">
        <f t="shared" si="8"/>
        <v>0</v>
      </c>
      <c r="AE29" s="17"/>
      <c r="AF29" s="44"/>
      <c r="AG29" s="45"/>
      <c r="AH29" s="45"/>
      <c r="AI29" s="45"/>
      <c r="AJ29" s="45"/>
      <c r="AK29" s="236"/>
      <c r="AL29" s="237"/>
    </row>
    <row r="30" spans="1:38" s="12" customFormat="1" ht="110.25" customHeight="1" x14ac:dyDescent="2.1">
      <c r="A30" s="12">
        <v>0</v>
      </c>
      <c r="B30" s="13" t="s">
        <v>48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12">
        <v>0</v>
      </c>
      <c r="Y30" s="14">
        <f>SUM(C30,E30,G30,I30,K30,,M30,O30,Q30,S30,U30,W30)</f>
        <v>0</v>
      </c>
      <c r="Z30" s="14">
        <f>SUM(D30,F30,H30,J30,L30,,N30,P30,R30,T30,V30)</f>
        <v>0</v>
      </c>
      <c r="AA30" s="13" t="s">
        <v>48</v>
      </c>
      <c r="AB30" s="171">
        <f>SUM(Y29:Y31)</f>
        <v>0</v>
      </c>
      <c r="AC30" s="172"/>
      <c r="AD30" s="16">
        <f t="shared" si="8"/>
        <v>0</v>
      </c>
      <c r="AE30" s="17"/>
      <c r="AF30" s="175" t="s">
        <v>49</v>
      </c>
      <c r="AG30" s="176"/>
      <c r="AH30" s="176"/>
      <c r="AI30" s="176"/>
      <c r="AJ30" s="176"/>
      <c r="AK30" s="236"/>
      <c r="AL30" s="237"/>
    </row>
    <row r="31" spans="1:38" s="12" customFormat="1" ht="110.25" customHeight="1" thickBot="1" x14ac:dyDescent="2.15">
      <c r="A31" s="12">
        <v>0</v>
      </c>
      <c r="B31" s="13" t="s">
        <v>50</v>
      </c>
      <c r="C31" s="14">
        <v>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12">
        <v>0</v>
      </c>
      <c r="Y31" s="14">
        <f>SUM(C31,E31,G31,I31,K31,,M31,O31,Q31,S31,U31,W31)</f>
        <v>0</v>
      </c>
      <c r="Z31" s="14">
        <f>SUM(D31,F31,H31,J31,L31,,N31,P31,R31,T31,V31)</f>
        <v>0</v>
      </c>
      <c r="AA31" s="13" t="s">
        <v>50</v>
      </c>
      <c r="AB31" s="173"/>
      <c r="AC31" s="174"/>
      <c r="AD31" s="16">
        <f t="shared" si="8"/>
        <v>0</v>
      </c>
      <c r="AE31" s="17"/>
      <c r="AF31" s="197">
        <f>+AD30+AD31</f>
        <v>0</v>
      </c>
      <c r="AG31" s="224"/>
      <c r="AH31" s="224"/>
      <c r="AI31" s="224"/>
      <c r="AJ31" s="225"/>
      <c r="AK31" s="236"/>
      <c r="AL31" s="237"/>
    </row>
    <row r="32" spans="1:38" s="12" customFormat="1" ht="110.25" customHeight="1" thickBot="1" x14ac:dyDescent="2.15">
      <c r="B32" s="13"/>
      <c r="C32" s="30">
        <f t="shared" ref="C32:W32" si="11">SUM(C30:C31)</f>
        <v>0</v>
      </c>
      <c r="D32" s="30">
        <f t="shared" si="11"/>
        <v>0</v>
      </c>
      <c r="E32" s="30">
        <f t="shared" si="11"/>
        <v>0</v>
      </c>
      <c r="F32" s="30">
        <f t="shared" si="11"/>
        <v>0</v>
      </c>
      <c r="G32" s="30">
        <f t="shared" si="11"/>
        <v>0</v>
      </c>
      <c r="H32" s="30">
        <f t="shared" si="11"/>
        <v>0</v>
      </c>
      <c r="I32" s="30">
        <f t="shared" si="11"/>
        <v>0</v>
      </c>
      <c r="J32" s="30">
        <f t="shared" si="11"/>
        <v>0</v>
      </c>
      <c r="K32" s="30">
        <f t="shared" si="11"/>
        <v>0</v>
      </c>
      <c r="L32" s="30">
        <f t="shared" si="11"/>
        <v>0</v>
      </c>
      <c r="M32" s="30">
        <f t="shared" si="11"/>
        <v>0</v>
      </c>
      <c r="N32" s="30">
        <f t="shared" si="11"/>
        <v>0</v>
      </c>
      <c r="O32" s="30">
        <f t="shared" si="11"/>
        <v>0</v>
      </c>
      <c r="P32" s="30">
        <f t="shared" si="11"/>
        <v>0</v>
      </c>
      <c r="Q32" s="30">
        <f t="shared" si="11"/>
        <v>0</v>
      </c>
      <c r="R32" s="30">
        <f t="shared" si="11"/>
        <v>0</v>
      </c>
      <c r="S32" s="30">
        <f t="shared" si="11"/>
        <v>0</v>
      </c>
      <c r="T32" s="30">
        <f t="shared" si="11"/>
        <v>0</v>
      </c>
      <c r="U32" s="30">
        <f t="shared" si="11"/>
        <v>0</v>
      </c>
      <c r="V32" s="30">
        <f t="shared" si="11"/>
        <v>0</v>
      </c>
      <c r="W32" s="30">
        <f t="shared" si="11"/>
        <v>0</v>
      </c>
      <c r="X32" s="113"/>
      <c r="Y32" s="14"/>
      <c r="Z32" s="14"/>
      <c r="AA32" s="13"/>
      <c r="AB32" s="149"/>
      <c r="AC32" s="150"/>
      <c r="AD32" s="16">
        <f t="shared" si="8"/>
        <v>0</v>
      </c>
      <c r="AE32" s="17"/>
      <c r="AF32" s="44"/>
      <c r="AG32" s="45"/>
      <c r="AH32" s="45"/>
      <c r="AI32" s="45"/>
      <c r="AJ32" s="45"/>
      <c r="AK32" s="236"/>
      <c r="AL32" s="237"/>
    </row>
    <row r="33" spans="1:40" s="12" customFormat="1" ht="110.25" customHeight="1" x14ac:dyDescent="2.1">
      <c r="A33" s="12">
        <v>0</v>
      </c>
      <c r="B33" s="13" t="s">
        <v>51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12">
        <v>0</v>
      </c>
      <c r="Y33" s="14">
        <f>SUM(C33,E33,G33,I33,K33,,M33,O33,Q33,S33,U33,W33)</f>
        <v>0</v>
      </c>
      <c r="Z33" s="14">
        <f>SUM(D33,F33,H33,J33,L33,,N33,P33,R33,T33,V33)</f>
        <v>0</v>
      </c>
      <c r="AA33" s="13" t="s">
        <v>51</v>
      </c>
      <c r="AB33" s="171">
        <f>SUM(Y32:Y34)</f>
        <v>0</v>
      </c>
      <c r="AC33" s="172"/>
      <c r="AD33" s="16">
        <f t="shared" si="8"/>
        <v>0</v>
      </c>
      <c r="AE33" s="17"/>
      <c r="AF33" s="175" t="s">
        <v>52</v>
      </c>
      <c r="AG33" s="176"/>
      <c r="AH33" s="176"/>
      <c r="AI33" s="176"/>
      <c r="AJ33" s="176"/>
      <c r="AK33" s="236"/>
      <c r="AL33" s="237"/>
    </row>
    <row r="34" spans="1:40" s="12" customFormat="1" ht="110.25" customHeight="1" thickBot="1" x14ac:dyDescent="2.15">
      <c r="A34" s="12">
        <v>0</v>
      </c>
      <c r="B34" s="13" t="s">
        <v>53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12">
        <v>0</v>
      </c>
      <c r="Y34" s="14">
        <f>SUM(C34,E34,G34,I34,K34,,M34,O34,Q34,S34,U34,W34)</f>
        <v>0</v>
      </c>
      <c r="Z34" s="14">
        <f>SUM(D34,F34,H34,J34,L34,,N34,P34,R34,T34,V34)</f>
        <v>0</v>
      </c>
      <c r="AA34" s="13" t="s">
        <v>53</v>
      </c>
      <c r="AB34" s="173"/>
      <c r="AC34" s="174"/>
      <c r="AD34" s="16">
        <f t="shared" si="8"/>
        <v>0</v>
      </c>
      <c r="AE34" s="17"/>
      <c r="AF34" s="197">
        <f>+AD33+AD34</f>
        <v>0</v>
      </c>
      <c r="AG34" s="224"/>
      <c r="AH34" s="224"/>
      <c r="AI34" s="224"/>
      <c r="AJ34" s="225"/>
      <c r="AK34" s="236"/>
      <c r="AL34" s="237"/>
    </row>
    <row r="35" spans="1:40" s="12" customFormat="1" ht="110.25" customHeight="1" thickBot="1" x14ac:dyDescent="2.15">
      <c r="B35" s="13"/>
      <c r="C35" s="30">
        <f t="shared" ref="C35:W35" si="12">SUM(C33:C34)</f>
        <v>0</v>
      </c>
      <c r="D35" s="30">
        <f t="shared" si="12"/>
        <v>0</v>
      </c>
      <c r="E35" s="30">
        <f t="shared" si="12"/>
        <v>0</v>
      </c>
      <c r="F35" s="30">
        <f t="shared" si="12"/>
        <v>0</v>
      </c>
      <c r="G35" s="30">
        <f t="shared" si="12"/>
        <v>0</v>
      </c>
      <c r="H35" s="30">
        <f t="shared" si="12"/>
        <v>0</v>
      </c>
      <c r="I35" s="30">
        <f t="shared" si="12"/>
        <v>0</v>
      </c>
      <c r="J35" s="30">
        <f t="shared" si="12"/>
        <v>0</v>
      </c>
      <c r="K35" s="30">
        <f t="shared" si="12"/>
        <v>0</v>
      </c>
      <c r="L35" s="30">
        <f t="shared" si="12"/>
        <v>0</v>
      </c>
      <c r="M35" s="30">
        <f t="shared" si="12"/>
        <v>0</v>
      </c>
      <c r="N35" s="30">
        <f t="shared" si="12"/>
        <v>0</v>
      </c>
      <c r="O35" s="30">
        <f t="shared" si="12"/>
        <v>0</v>
      </c>
      <c r="P35" s="30">
        <f t="shared" si="12"/>
        <v>0</v>
      </c>
      <c r="Q35" s="30">
        <f t="shared" si="12"/>
        <v>0</v>
      </c>
      <c r="R35" s="30">
        <f t="shared" si="12"/>
        <v>0</v>
      </c>
      <c r="S35" s="30">
        <f t="shared" si="12"/>
        <v>0</v>
      </c>
      <c r="T35" s="30">
        <f t="shared" si="12"/>
        <v>0</v>
      </c>
      <c r="U35" s="30">
        <f t="shared" si="12"/>
        <v>0</v>
      </c>
      <c r="V35" s="30">
        <f t="shared" si="12"/>
        <v>0</v>
      </c>
      <c r="W35" s="30">
        <f t="shared" si="12"/>
        <v>0</v>
      </c>
      <c r="X35" s="113"/>
      <c r="Y35" s="14"/>
      <c r="Z35" s="14"/>
      <c r="AA35" s="13"/>
      <c r="AB35" s="149"/>
      <c r="AC35" s="150"/>
      <c r="AD35" s="16">
        <f t="shared" si="8"/>
        <v>0</v>
      </c>
      <c r="AE35" s="17"/>
      <c r="AF35" s="44"/>
      <c r="AG35" s="45"/>
      <c r="AH35" s="45"/>
      <c r="AI35" s="45"/>
      <c r="AJ35" s="45"/>
      <c r="AK35" s="236"/>
      <c r="AL35" s="237"/>
    </row>
    <row r="36" spans="1:40" s="12" customFormat="1" ht="110.25" customHeight="1" x14ac:dyDescent="2.1">
      <c r="B36" s="13" t="s">
        <v>54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12">
        <v>0</v>
      </c>
      <c r="Y36" s="14">
        <f>SUM(C36,E36,G36,I36,K36,,M36,O36,Q36,S36,U36,W36)</f>
        <v>0</v>
      </c>
      <c r="Z36" s="14">
        <f>SUM(D36,F36,H36,J36,L36,,N36,P36,R36,T36,V36)</f>
        <v>0</v>
      </c>
      <c r="AA36" s="13" t="s">
        <v>54</v>
      </c>
      <c r="AB36" s="171">
        <f>SUM(Y35:Y37)</f>
        <v>0</v>
      </c>
      <c r="AC36" s="172"/>
      <c r="AD36" s="16">
        <f t="shared" si="8"/>
        <v>0</v>
      </c>
      <c r="AE36" s="17"/>
      <c r="AF36" s="175" t="s">
        <v>55</v>
      </c>
      <c r="AG36" s="176"/>
      <c r="AH36" s="176"/>
      <c r="AI36" s="176"/>
      <c r="AJ36" s="176"/>
      <c r="AK36" s="236"/>
      <c r="AL36" s="237"/>
    </row>
    <row r="37" spans="1:40" s="12" customFormat="1" ht="110.25" customHeight="1" thickBot="1" x14ac:dyDescent="2.15">
      <c r="B37" s="13" t="s">
        <v>56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16">
        <v>0</v>
      </c>
      <c r="Y37" s="14">
        <f>SUM(C37,E37,G37,I37,K37,,M37,O37,Q37,S37,U37,W37)</f>
        <v>0</v>
      </c>
      <c r="Z37" s="14">
        <f>SUM(D37,F37,H37,J37,L37,,N37,P37,R37,T37,V37)</f>
        <v>0</v>
      </c>
      <c r="AA37" s="13" t="s">
        <v>56</v>
      </c>
      <c r="AB37" s="173"/>
      <c r="AC37" s="174"/>
      <c r="AD37" s="16">
        <f t="shared" si="8"/>
        <v>0</v>
      </c>
      <c r="AE37" s="17"/>
      <c r="AF37" s="197">
        <f>+AD36+AD37</f>
        <v>0</v>
      </c>
      <c r="AG37" s="224"/>
      <c r="AH37" s="224"/>
      <c r="AI37" s="224"/>
      <c r="AJ37" s="225"/>
      <c r="AK37" s="236"/>
      <c r="AL37" s="237"/>
      <c r="AM37" s="47"/>
      <c r="AN37" s="47"/>
    </row>
    <row r="38" spans="1:40" s="12" customFormat="1" ht="146.25" x14ac:dyDescent="2.1">
      <c r="B38" s="13"/>
      <c r="C38" s="30">
        <f t="shared" ref="C38:W38" si="13">SUM(C36:C37)</f>
        <v>0</v>
      </c>
      <c r="D38" s="30">
        <f t="shared" si="13"/>
        <v>0</v>
      </c>
      <c r="E38" s="30">
        <f t="shared" si="13"/>
        <v>0</v>
      </c>
      <c r="F38" s="30">
        <f t="shared" si="13"/>
        <v>0</v>
      </c>
      <c r="G38" s="30">
        <f t="shared" si="13"/>
        <v>0</v>
      </c>
      <c r="H38" s="30">
        <f t="shared" si="13"/>
        <v>0</v>
      </c>
      <c r="I38" s="30">
        <f t="shared" si="13"/>
        <v>0</v>
      </c>
      <c r="J38" s="30">
        <f t="shared" si="13"/>
        <v>0</v>
      </c>
      <c r="K38" s="30">
        <f t="shared" si="13"/>
        <v>0</v>
      </c>
      <c r="L38" s="30">
        <f t="shared" si="13"/>
        <v>0</v>
      </c>
      <c r="M38" s="30">
        <f t="shared" si="13"/>
        <v>0</v>
      </c>
      <c r="N38" s="30">
        <f t="shared" si="13"/>
        <v>0</v>
      </c>
      <c r="O38" s="30">
        <f t="shared" si="13"/>
        <v>0</v>
      </c>
      <c r="P38" s="30">
        <f t="shared" si="13"/>
        <v>0</v>
      </c>
      <c r="Q38" s="30">
        <f t="shared" si="13"/>
        <v>0</v>
      </c>
      <c r="R38" s="30">
        <f t="shared" si="13"/>
        <v>0</v>
      </c>
      <c r="S38" s="30">
        <f t="shared" si="13"/>
        <v>0</v>
      </c>
      <c r="T38" s="30">
        <f t="shared" si="13"/>
        <v>0</v>
      </c>
      <c r="U38" s="30">
        <f t="shared" si="13"/>
        <v>0</v>
      </c>
      <c r="V38" s="30">
        <f t="shared" si="13"/>
        <v>0</v>
      </c>
      <c r="W38" s="30">
        <f t="shared" si="13"/>
        <v>0</v>
      </c>
      <c r="X38" s="113"/>
      <c r="Y38" s="14"/>
      <c r="Z38" s="14"/>
      <c r="AA38" s="13"/>
      <c r="AB38" s="149"/>
      <c r="AC38" s="150"/>
      <c r="AD38" s="16">
        <f t="shared" si="8"/>
        <v>0</v>
      </c>
      <c r="AE38" s="17"/>
      <c r="AF38" s="45"/>
      <c r="AG38" s="45"/>
      <c r="AH38" s="45"/>
      <c r="AI38" s="45"/>
      <c r="AJ38" s="45"/>
      <c r="AK38" s="236"/>
      <c r="AL38" s="237"/>
      <c r="AM38" s="47"/>
      <c r="AN38" s="47"/>
    </row>
    <row r="39" spans="1:40" s="12" customFormat="1" ht="146.25" x14ac:dyDescent="2.1">
      <c r="B39" s="13" t="s">
        <v>57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16">
        <v>0</v>
      </c>
      <c r="Y39" s="14">
        <f>SUM(C39,E39,G39,I39,K39,,M39,O39,Q39,S39,U39,W39)</f>
        <v>0</v>
      </c>
      <c r="Z39" s="14">
        <f>SUM(D39,F39,H39,J39,L39,,N39,P39,R39,T39,V39)</f>
        <v>0</v>
      </c>
      <c r="AA39" s="13" t="s">
        <v>57</v>
      </c>
      <c r="AB39" s="149"/>
      <c r="AC39" s="150"/>
      <c r="AD39" s="16">
        <f t="shared" si="8"/>
        <v>0</v>
      </c>
      <c r="AE39" s="17"/>
      <c r="AF39" s="45"/>
      <c r="AG39" s="45"/>
      <c r="AH39" s="45"/>
      <c r="AI39" s="45"/>
      <c r="AJ39" s="45"/>
      <c r="AK39" s="236"/>
      <c r="AL39" s="237"/>
      <c r="AM39" s="47"/>
      <c r="AN39" s="47"/>
    </row>
    <row r="40" spans="1:40" s="4" customFormat="1" ht="132" customHeight="1" x14ac:dyDescent="2.1">
      <c r="B40" s="48" t="s">
        <v>58</v>
      </c>
      <c r="C40" s="135" t="s">
        <v>2</v>
      </c>
      <c r="D40" s="136"/>
      <c r="E40" s="135" t="s">
        <v>3</v>
      </c>
      <c r="F40" s="136"/>
      <c r="G40" s="135" t="s">
        <v>4</v>
      </c>
      <c r="H40" s="136"/>
      <c r="I40" s="135" t="s">
        <v>5</v>
      </c>
      <c r="J40" s="136"/>
      <c r="K40" s="135" t="s">
        <v>6</v>
      </c>
      <c r="L40" s="136"/>
      <c r="M40" s="135" t="s">
        <v>7</v>
      </c>
      <c r="N40" s="136"/>
      <c r="O40" s="135" t="s">
        <v>8</v>
      </c>
      <c r="P40" s="136"/>
      <c r="Q40" s="135" t="s">
        <v>9</v>
      </c>
      <c r="R40" s="136"/>
      <c r="S40" s="135" t="s">
        <v>10</v>
      </c>
      <c r="T40" s="136"/>
      <c r="U40" s="135" t="s">
        <v>11</v>
      </c>
      <c r="V40" s="136"/>
      <c r="W40" s="5" t="s">
        <v>12</v>
      </c>
      <c r="X40" s="117"/>
      <c r="Y40" s="49" t="s">
        <v>13</v>
      </c>
      <c r="Z40" s="49" t="s">
        <v>14</v>
      </c>
      <c r="AA40" s="48" t="s">
        <v>58</v>
      </c>
      <c r="AB40" s="139"/>
      <c r="AC40" s="140"/>
      <c r="AD40" s="6">
        <v>0</v>
      </c>
      <c r="AE40" s="7"/>
      <c r="AF40" s="2"/>
      <c r="AG40" s="2"/>
      <c r="AH40" s="2"/>
      <c r="AI40" s="2"/>
      <c r="AJ40" s="2"/>
      <c r="AK40" s="236"/>
      <c r="AL40" s="237"/>
      <c r="AM40" s="12"/>
      <c r="AN40" s="12"/>
    </row>
    <row r="41" spans="1:40" s="47" customFormat="1" ht="147" thickBot="1" x14ac:dyDescent="2.15">
      <c r="A41" s="12"/>
      <c r="B41" s="13" t="s">
        <v>59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12">
        <v>0</v>
      </c>
      <c r="Y41" s="14">
        <f t="shared" ref="Y41:Y53" si="14">SUM(C41,E41,G41,I41,K41,,M41,O41,Q41,S41,U41,W41)</f>
        <v>0</v>
      </c>
      <c r="Z41" s="14">
        <f t="shared" ref="Z41:Z53" si="15">SUM(D41,F41,H41,J41,L41,,N41,P41,R41,T41,V41)</f>
        <v>0</v>
      </c>
      <c r="AA41" s="13" t="s">
        <v>59</v>
      </c>
      <c r="AB41" s="50"/>
      <c r="AC41" s="51"/>
      <c r="AD41" s="16">
        <f>X41</f>
        <v>0</v>
      </c>
      <c r="AE41" s="17"/>
      <c r="AF41" s="52"/>
      <c r="AG41" s="52"/>
      <c r="AH41" s="52"/>
      <c r="AI41" s="52"/>
      <c r="AJ41" s="52"/>
      <c r="AK41" s="236"/>
      <c r="AL41" s="237"/>
    </row>
    <row r="42" spans="1:40" s="47" customFormat="1" ht="146.25" x14ac:dyDescent="2.1">
      <c r="A42" s="12"/>
      <c r="B42" s="13" t="s">
        <v>60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12">
        <v>0</v>
      </c>
      <c r="Y42" s="14">
        <f t="shared" si="14"/>
        <v>0</v>
      </c>
      <c r="Z42" s="14">
        <f t="shared" si="15"/>
        <v>0</v>
      </c>
      <c r="AA42" s="13" t="s">
        <v>60</v>
      </c>
      <c r="AB42" s="211">
        <f>SUM(Y40:Y53)</f>
        <v>0</v>
      </c>
      <c r="AC42" s="212"/>
      <c r="AD42" s="16">
        <f t="shared" ref="AD42:AD59" si="16">X42</f>
        <v>0</v>
      </c>
      <c r="AE42" s="17"/>
      <c r="AF42" s="175" t="s">
        <v>61</v>
      </c>
      <c r="AG42" s="176"/>
      <c r="AH42" s="176"/>
      <c r="AI42" s="176"/>
      <c r="AJ42" s="223"/>
      <c r="AK42" s="238"/>
      <c r="AL42" s="237"/>
    </row>
    <row r="43" spans="1:40" s="47" customFormat="1" ht="110.25" customHeight="1" x14ac:dyDescent="2.1">
      <c r="A43" s="12"/>
      <c r="B43" s="13" t="s">
        <v>62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12">
        <v>0</v>
      </c>
      <c r="Y43" s="14">
        <f t="shared" si="14"/>
        <v>0</v>
      </c>
      <c r="Z43" s="14">
        <f t="shared" si="15"/>
        <v>0</v>
      </c>
      <c r="AA43" s="13" t="s">
        <v>62</v>
      </c>
      <c r="AB43" s="211"/>
      <c r="AC43" s="212"/>
      <c r="AD43" s="16">
        <f t="shared" si="16"/>
        <v>0</v>
      </c>
      <c r="AE43" s="17"/>
      <c r="AF43" s="53"/>
      <c r="AG43" s="54"/>
      <c r="AH43" s="54"/>
      <c r="AI43" s="54"/>
      <c r="AJ43" s="55"/>
      <c r="AK43" s="238"/>
      <c r="AL43" s="237"/>
    </row>
    <row r="44" spans="1:40" s="47" customFormat="1" ht="110.25" customHeight="1" x14ac:dyDescent="2.1">
      <c r="A44" s="12"/>
      <c r="B44" s="13" t="s">
        <v>63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12">
        <v>0</v>
      </c>
      <c r="Y44" s="14">
        <f t="shared" si="14"/>
        <v>0</v>
      </c>
      <c r="Z44" s="14">
        <f t="shared" si="15"/>
        <v>0</v>
      </c>
      <c r="AA44" s="13" t="s">
        <v>63</v>
      </c>
      <c r="AB44" s="211"/>
      <c r="AC44" s="212"/>
      <c r="AD44" s="16">
        <f t="shared" si="16"/>
        <v>0</v>
      </c>
      <c r="AE44" s="17"/>
      <c r="AF44" s="53"/>
      <c r="AG44" s="54"/>
      <c r="AH44" s="54"/>
      <c r="AI44" s="54"/>
      <c r="AJ44" s="55"/>
      <c r="AK44" s="238"/>
      <c r="AL44" s="237"/>
    </row>
    <row r="45" spans="1:40" s="47" customFormat="1" ht="110.25" customHeight="1" x14ac:dyDescent="2.1">
      <c r="A45" s="12"/>
      <c r="B45" s="13" t="s">
        <v>64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12">
        <v>0</v>
      </c>
      <c r="Y45" s="14">
        <f t="shared" si="14"/>
        <v>0</v>
      </c>
      <c r="Z45" s="14">
        <f t="shared" si="15"/>
        <v>0</v>
      </c>
      <c r="AA45" s="13" t="s">
        <v>64</v>
      </c>
      <c r="AB45" s="211"/>
      <c r="AC45" s="212"/>
      <c r="AD45" s="16">
        <f t="shared" si="16"/>
        <v>0</v>
      </c>
      <c r="AE45" s="17"/>
      <c r="AF45" s="53"/>
      <c r="AG45" s="54"/>
      <c r="AH45" s="54"/>
      <c r="AI45" s="54"/>
      <c r="AJ45" s="55"/>
      <c r="AK45" s="238"/>
      <c r="AL45" s="237"/>
    </row>
    <row r="46" spans="1:40" s="47" customFormat="1" ht="110.25" customHeight="1" x14ac:dyDescent="2.1">
      <c r="A46" s="12"/>
      <c r="B46" s="13" t="s">
        <v>65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12">
        <v>0</v>
      </c>
      <c r="Y46" s="14">
        <f t="shared" si="14"/>
        <v>0</v>
      </c>
      <c r="Z46" s="14">
        <f t="shared" si="15"/>
        <v>0</v>
      </c>
      <c r="AA46" s="13" t="s">
        <v>65</v>
      </c>
      <c r="AB46" s="211"/>
      <c r="AC46" s="212"/>
      <c r="AD46" s="16">
        <f t="shared" si="16"/>
        <v>0</v>
      </c>
      <c r="AE46" s="17"/>
      <c r="AF46" s="53"/>
      <c r="AG46" s="54"/>
      <c r="AH46" s="54"/>
      <c r="AI46" s="54"/>
      <c r="AJ46" s="55"/>
      <c r="AK46" s="238"/>
      <c r="AL46" s="237"/>
    </row>
    <row r="47" spans="1:40" s="47" customFormat="1" ht="110.25" customHeight="1" x14ac:dyDescent="2.1">
      <c r="A47" s="12"/>
      <c r="B47" s="13" t="s">
        <v>66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12">
        <v>0</v>
      </c>
      <c r="Y47" s="14">
        <f t="shared" si="14"/>
        <v>0</v>
      </c>
      <c r="Z47" s="14">
        <f t="shared" si="15"/>
        <v>0</v>
      </c>
      <c r="AA47" s="13" t="s">
        <v>66</v>
      </c>
      <c r="AB47" s="211"/>
      <c r="AC47" s="212"/>
      <c r="AD47" s="16">
        <f t="shared" si="16"/>
        <v>0</v>
      </c>
      <c r="AE47" s="17"/>
      <c r="AF47" s="216">
        <f>SUM(AD41:AD53)</f>
        <v>0</v>
      </c>
      <c r="AG47" s="214"/>
      <c r="AH47" s="214"/>
      <c r="AI47" s="214"/>
      <c r="AJ47" s="215"/>
      <c r="AK47" s="238"/>
      <c r="AL47" s="237"/>
    </row>
    <row r="48" spans="1:40" s="47" customFormat="1" ht="123.75" customHeight="1" x14ac:dyDescent="2.1">
      <c r="A48" s="12"/>
      <c r="B48" s="13" t="s">
        <v>67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12">
        <v>0</v>
      </c>
      <c r="Y48" s="14">
        <f t="shared" si="14"/>
        <v>0</v>
      </c>
      <c r="Z48" s="14">
        <f t="shared" si="15"/>
        <v>0</v>
      </c>
      <c r="AA48" s="13" t="s">
        <v>67</v>
      </c>
      <c r="AB48" s="211"/>
      <c r="AC48" s="212"/>
      <c r="AD48" s="16">
        <f t="shared" si="16"/>
        <v>0</v>
      </c>
      <c r="AE48" s="17"/>
      <c r="AF48" s="53"/>
      <c r="AG48" s="54"/>
      <c r="AH48" s="54"/>
      <c r="AI48" s="54"/>
      <c r="AJ48" s="55"/>
      <c r="AK48" s="238"/>
      <c r="AL48" s="237"/>
    </row>
    <row r="49" spans="1:40" s="47" customFormat="1" ht="146.25" customHeight="1" x14ac:dyDescent="2.1">
      <c r="A49" s="12"/>
      <c r="B49" s="13" t="s">
        <v>68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16">
        <v>0</v>
      </c>
      <c r="Y49" s="14">
        <f t="shared" si="14"/>
        <v>0</v>
      </c>
      <c r="Z49" s="14">
        <f t="shared" si="15"/>
        <v>0</v>
      </c>
      <c r="AA49" s="13" t="s">
        <v>68</v>
      </c>
      <c r="AB49" s="211"/>
      <c r="AC49" s="212"/>
      <c r="AD49" s="16">
        <f t="shared" si="16"/>
        <v>0</v>
      </c>
      <c r="AE49" s="17"/>
      <c r="AF49" s="53"/>
      <c r="AG49" s="54"/>
      <c r="AH49" s="54"/>
      <c r="AI49" s="54"/>
      <c r="AJ49" s="55"/>
      <c r="AK49" s="238"/>
      <c r="AL49" s="237"/>
    </row>
    <row r="50" spans="1:40" s="47" customFormat="1" ht="108.75" customHeight="1" x14ac:dyDescent="2.1">
      <c r="A50" s="12"/>
      <c r="B50" s="13" t="s">
        <v>69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16">
        <v>0</v>
      </c>
      <c r="Y50" s="14">
        <f t="shared" si="14"/>
        <v>0</v>
      </c>
      <c r="Z50" s="14">
        <f t="shared" si="15"/>
        <v>0</v>
      </c>
      <c r="AA50" s="13" t="s">
        <v>69</v>
      </c>
      <c r="AB50" s="211"/>
      <c r="AC50" s="212"/>
      <c r="AD50" s="16">
        <f t="shared" si="16"/>
        <v>0</v>
      </c>
      <c r="AE50" s="17"/>
      <c r="AF50" s="53"/>
      <c r="AG50" s="54"/>
      <c r="AH50" s="54"/>
      <c r="AI50" s="54"/>
      <c r="AJ50" s="55"/>
      <c r="AK50" s="238"/>
      <c r="AL50" s="237"/>
    </row>
    <row r="51" spans="1:40" s="47" customFormat="1" ht="146.25" x14ac:dyDescent="2.1">
      <c r="A51" s="12"/>
      <c r="B51" s="13" t="s">
        <v>70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12">
        <v>0</v>
      </c>
      <c r="Y51" s="14">
        <f t="shared" si="14"/>
        <v>0</v>
      </c>
      <c r="Z51" s="14">
        <f t="shared" si="15"/>
        <v>0</v>
      </c>
      <c r="AA51" s="13" t="s">
        <v>70</v>
      </c>
      <c r="AB51" s="211"/>
      <c r="AC51" s="212"/>
      <c r="AD51" s="16">
        <f t="shared" si="16"/>
        <v>0</v>
      </c>
      <c r="AE51" s="17"/>
      <c r="AF51" s="53"/>
      <c r="AG51" s="54"/>
      <c r="AH51" s="54"/>
      <c r="AI51" s="54"/>
      <c r="AJ51" s="55"/>
      <c r="AK51" s="238"/>
      <c r="AL51" s="237"/>
    </row>
    <row r="52" spans="1:40" s="47" customFormat="1" ht="146.25" customHeight="1" x14ac:dyDescent="2.1">
      <c r="A52" s="12"/>
      <c r="B52" s="13" t="s">
        <v>71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12">
        <v>0</v>
      </c>
      <c r="Y52" s="14">
        <f t="shared" si="14"/>
        <v>0</v>
      </c>
      <c r="Z52" s="14">
        <f t="shared" si="15"/>
        <v>0</v>
      </c>
      <c r="AA52" s="13" t="s">
        <v>71</v>
      </c>
      <c r="AB52" s="59"/>
      <c r="AC52" s="60"/>
      <c r="AD52" s="16">
        <f t="shared" si="16"/>
        <v>0</v>
      </c>
      <c r="AE52" s="17"/>
      <c r="AF52" s="53"/>
      <c r="AG52" s="54"/>
      <c r="AH52" s="54"/>
      <c r="AI52" s="54"/>
      <c r="AJ52" s="55"/>
      <c r="AK52" s="238"/>
      <c r="AL52" s="237"/>
    </row>
    <row r="53" spans="1:40" s="47" customFormat="1" ht="108.75" customHeight="1" thickBot="1" x14ac:dyDescent="2.15">
      <c r="A53" s="12"/>
      <c r="B53" s="13" t="s">
        <v>72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12">
        <v>0</v>
      </c>
      <c r="Y53" s="14">
        <f t="shared" si="14"/>
        <v>0</v>
      </c>
      <c r="Z53" s="14">
        <f t="shared" si="15"/>
        <v>0</v>
      </c>
      <c r="AA53" s="13" t="s">
        <v>72</v>
      </c>
      <c r="AB53" s="59"/>
      <c r="AC53" s="60"/>
      <c r="AD53" s="16">
        <f t="shared" si="16"/>
        <v>0</v>
      </c>
      <c r="AE53" s="17"/>
      <c r="AF53" s="61"/>
      <c r="AG53" s="62"/>
      <c r="AH53" s="62"/>
      <c r="AI53" s="62"/>
      <c r="AJ53" s="63"/>
      <c r="AK53" s="238"/>
      <c r="AL53" s="237"/>
    </row>
    <row r="54" spans="1:40" s="47" customFormat="1" ht="110.25" customHeight="1" x14ac:dyDescent="2.1">
      <c r="A54" s="12"/>
      <c r="B54" s="13"/>
      <c r="C54" s="30">
        <f t="shared" ref="C54:W54" si="17">SUM(C41:C53)</f>
        <v>0</v>
      </c>
      <c r="D54" s="30">
        <f t="shared" si="17"/>
        <v>0</v>
      </c>
      <c r="E54" s="30">
        <f t="shared" si="17"/>
        <v>0</v>
      </c>
      <c r="F54" s="30">
        <f t="shared" si="17"/>
        <v>0</v>
      </c>
      <c r="G54" s="30">
        <f t="shared" si="17"/>
        <v>0</v>
      </c>
      <c r="H54" s="30">
        <f t="shared" si="17"/>
        <v>0</v>
      </c>
      <c r="I54" s="30">
        <f t="shared" si="17"/>
        <v>0</v>
      </c>
      <c r="J54" s="30">
        <f t="shared" si="17"/>
        <v>0</v>
      </c>
      <c r="K54" s="30">
        <f t="shared" si="17"/>
        <v>0</v>
      </c>
      <c r="L54" s="30">
        <f t="shared" si="17"/>
        <v>0</v>
      </c>
      <c r="M54" s="30">
        <f t="shared" si="17"/>
        <v>0</v>
      </c>
      <c r="N54" s="30">
        <f t="shared" si="17"/>
        <v>0</v>
      </c>
      <c r="O54" s="30">
        <f t="shared" si="17"/>
        <v>0</v>
      </c>
      <c r="P54" s="30">
        <f t="shared" si="17"/>
        <v>0</v>
      </c>
      <c r="Q54" s="30">
        <f t="shared" si="17"/>
        <v>0</v>
      </c>
      <c r="R54" s="30">
        <f t="shared" si="17"/>
        <v>0</v>
      </c>
      <c r="S54" s="30">
        <f t="shared" si="17"/>
        <v>0</v>
      </c>
      <c r="T54" s="30">
        <f t="shared" si="17"/>
        <v>0</v>
      </c>
      <c r="U54" s="30">
        <f t="shared" si="17"/>
        <v>0</v>
      </c>
      <c r="V54" s="30">
        <f t="shared" si="17"/>
        <v>0</v>
      </c>
      <c r="W54" s="30">
        <f t="shared" si="17"/>
        <v>0</v>
      </c>
      <c r="X54" s="113">
        <v>0</v>
      </c>
      <c r="Y54" s="14"/>
      <c r="Z54" s="14"/>
      <c r="AA54" s="13"/>
      <c r="AB54" s="221"/>
      <c r="AC54" s="222"/>
      <c r="AD54" s="16">
        <f t="shared" si="16"/>
        <v>0</v>
      </c>
      <c r="AE54" s="17"/>
      <c r="AF54" s="54"/>
      <c r="AG54" s="54"/>
      <c r="AH54" s="54"/>
      <c r="AI54" s="54"/>
      <c r="AJ54" s="54"/>
      <c r="AK54" s="236"/>
      <c r="AL54" s="237"/>
    </row>
    <row r="55" spans="1:40" s="12" customFormat="1" ht="110.25" customHeight="1" x14ac:dyDescent="2.1">
      <c r="B55" s="13" t="s">
        <v>73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12">
        <v>0</v>
      </c>
      <c r="Y55" s="14">
        <f>SUM(C55,E55,G55,I55,K55,,M55,O55,Q55,S55,U55,W55)</f>
        <v>0</v>
      </c>
      <c r="Z55" s="14">
        <f>SUM(D55,F55,H55,J55,L55,,N55,P55,R55,T55,V55)</f>
        <v>0</v>
      </c>
      <c r="AA55" s="13" t="s">
        <v>73</v>
      </c>
      <c r="AB55" s="149"/>
      <c r="AC55" s="150"/>
      <c r="AD55" s="16">
        <f t="shared" si="16"/>
        <v>0</v>
      </c>
      <c r="AE55" s="17"/>
      <c r="AF55" s="2"/>
      <c r="AG55" s="2"/>
      <c r="AH55" s="2"/>
      <c r="AI55" s="2"/>
      <c r="AJ55" s="2"/>
      <c r="AK55" s="236"/>
      <c r="AL55" s="237"/>
      <c r="AM55" s="4"/>
      <c r="AN55" s="4"/>
    </row>
    <row r="56" spans="1:40" s="64" customFormat="1" ht="23.25" customHeight="1" x14ac:dyDescent="2.1">
      <c r="B56" s="65"/>
      <c r="C56" s="14">
        <v>0</v>
      </c>
      <c r="D56" s="14"/>
      <c r="E56" s="14">
        <v>0</v>
      </c>
      <c r="F56" s="14"/>
      <c r="G56" s="14">
        <v>0</v>
      </c>
      <c r="H56" s="14"/>
      <c r="I56" s="14">
        <v>0</v>
      </c>
      <c r="J56" s="14"/>
      <c r="K56" s="14">
        <v>0</v>
      </c>
      <c r="L56" s="14"/>
      <c r="M56" s="14">
        <v>0</v>
      </c>
      <c r="N56" s="14"/>
      <c r="O56" s="14">
        <v>0</v>
      </c>
      <c r="P56" s="14"/>
      <c r="Q56" s="14">
        <v>0</v>
      </c>
      <c r="R56" s="14"/>
      <c r="S56" s="14">
        <v>0</v>
      </c>
      <c r="T56" s="14"/>
      <c r="U56" s="14">
        <v>0</v>
      </c>
      <c r="V56" s="14"/>
      <c r="W56" s="14">
        <v>0</v>
      </c>
      <c r="X56" s="112">
        <v>0</v>
      </c>
      <c r="Y56" s="14">
        <f>SUM(D56,F56,H56,J56,L56,,N56,P56,R56,T56,V56,W56)</f>
        <v>0</v>
      </c>
      <c r="Z56" s="14">
        <f>SUM(C56,E56,G56,I56,K56,,M56,O56,Q56,S56,U56)</f>
        <v>0</v>
      </c>
      <c r="AA56" s="65"/>
      <c r="AB56" s="66"/>
      <c r="AC56" s="66"/>
      <c r="AD56" s="16">
        <f t="shared" si="16"/>
        <v>0</v>
      </c>
      <c r="AE56" s="17"/>
      <c r="AF56" s="2"/>
      <c r="AG56" s="2"/>
      <c r="AH56" s="2"/>
      <c r="AI56" s="2"/>
      <c r="AJ56" s="2"/>
      <c r="AK56" s="236"/>
      <c r="AL56" s="237"/>
      <c r="AM56" s="67"/>
      <c r="AN56" s="67"/>
    </row>
    <row r="57" spans="1:40" ht="108.75" customHeight="1" x14ac:dyDescent="2.1">
      <c r="B57" s="15" t="s">
        <v>74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12">
        <v>0</v>
      </c>
      <c r="Y57" s="14">
        <f>SUM(C57,E57,G57,I57,K57,,M57,O57,Q57,S57,U57,W57)</f>
        <v>0</v>
      </c>
      <c r="Z57" s="14">
        <f>SUM(D57,F57,H57,J57,L57,,N57,P57,R57,T57,V57)</f>
        <v>0</v>
      </c>
      <c r="AA57" s="68" t="s">
        <v>75</v>
      </c>
      <c r="AB57" s="21">
        <f>Y57*4</f>
        <v>0</v>
      </c>
      <c r="AC57" s="219">
        <f>SUM(C59:W59)</f>
        <v>0</v>
      </c>
      <c r="AD57" s="16">
        <f t="shared" si="16"/>
        <v>0</v>
      </c>
      <c r="AE57" s="17"/>
      <c r="AF57" s="69"/>
      <c r="AG57" s="69"/>
      <c r="AK57" s="236"/>
      <c r="AL57" s="237"/>
    </row>
    <row r="58" spans="1:40" ht="108.75" customHeight="1" x14ac:dyDescent="2.1">
      <c r="B58" s="15" t="s">
        <v>76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12">
        <v>0</v>
      </c>
      <c r="Y58" s="14">
        <f>SUM(C58,E58,G58,I58,K58,,M58,O58,Q58,S58,U58,W58)</f>
        <v>0</v>
      </c>
      <c r="Z58" s="14">
        <f>SUM(D58,F58,H58,J58,L58,,N58,P58,R58,T58,V58)</f>
        <v>0</v>
      </c>
      <c r="AA58" s="68" t="s">
        <v>76</v>
      </c>
      <c r="AB58" s="21">
        <f>Y58*4</f>
        <v>0</v>
      </c>
      <c r="AC58" s="220"/>
      <c r="AD58" s="16">
        <f t="shared" si="16"/>
        <v>0</v>
      </c>
      <c r="AE58" s="17"/>
      <c r="AK58" s="236"/>
      <c r="AL58" s="237"/>
    </row>
    <row r="59" spans="1:40" ht="110.25" customHeight="1" x14ac:dyDescent="2.1">
      <c r="B59" s="15"/>
      <c r="C59" s="30">
        <f>(C57+C58)*4</f>
        <v>0</v>
      </c>
      <c r="D59" s="30">
        <f t="shared" ref="D59:W59" si="18">(D57+D58)*4</f>
        <v>0</v>
      </c>
      <c r="E59" s="30">
        <f t="shared" si="18"/>
        <v>0</v>
      </c>
      <c r="F59" s="30">
        <f t="shared" si="18"/>
        <v>0</v>
      </c>
      <c r="G59" s="30">
        <f t="shared" si="18"/>
        <v>0</v>
      </c>
      <c r="H59" s="30">
        <f t="shared" si="18"/>
        <v>0</v>
      </c>
      <c r="I59" s="30">
        <f t="shared" si="18"/>
        <v>0</v>
      </c>
      <c r="J59" s="30">
        <f t="shared" si="18"/>
        <v>0</v>
      </c>
      <c r="K59" s="30">
        <f t="shared" si="18"/>
        <v>0</v>
      </c>
      <c r="L59" s="30">
        <f t="shared" si="18"/>
        <v>0</v>
      </c>
      <c r="M59" s="30">
        <f t="shared" si="18"/>
        <v>0</v>
      </c>
      <c r="N59" s="30">
        <f t="shared" si="18"/>
        <v>0</v>
      </c>
      <c r="O59" s="30">
        <f t="shared" si="18"/>
        <v>0</v>
      </c>
      <c r="P59" s="30">
        <f t="shared" si="18"/>
        <v>0</v>
      </c>
      <c r="Q59" s="30">
        <f t="shared" si="18"/>
        <v>0</v>
      </c>
      <c r="R59" s="30">
        <f t="shared" si="18"/>
        <v>0</v>
      </c>
      <c r="S59" s="30">
        <f t="shared" si="18"/>
        <v>0</v>
      </c>
      <c r="T59" s="30">
        <f t="shared" si="18"/>
        <v>0</v>
      </c>
      <c r="U59" s="30">
        <f t="shared" si="18"/>
        <v>0</v>
      </c>
      <c r="V59" s="30">
        <f t="shared" si="18"/>
        <v>0</v>
      </c>
      <c r="W59" s="30">
        <f t="shared" si="18"/>
        <v>0</v>
      </c>
      <c r="X59" s="113"/>
      <c r="Y59" s="14"/>
      <c r="Z59" s="14"/>
      <c r="AA59" s="68"/>
      <c r="AB59" s="143"/>
      <c r="AC59" s="144"/>
      <c r="AD59" s="33">
        <f t="shared" si="16"/>
        <v>0</v>
      </c>
      <c r="AE59" s="17"/>
      <c r="AK59" s="236"/>
      <c r="AL59" s="237"/>
    </row>
    <row r="60" spans="1:40" ht="123.75" customHeight="1" x14ac:dyDescent="2.1">
      <c r="B60" s="167" t="s">
        <v>77</v>
      </c>
      <c r="C60" s="135" t="s">
        <v>2</v>
      </c>
      <c r="D60" s="136"/>
      <c r="E60" s="135" t="s">
        <v>3</v>
      </c>
      <c r="F60" s="136"/>
      <c r="G60" s="135" t="s">
        <v>4</v>
      </c>
      <c r="H60" s="136"/>
      <c r="I60" s="135" t="s">
        <v>5</v>
      </c>
      <c r="J60" s="136"/>
      <c r="K60" s="135" t="s">
        <v>6</v>
      </c>
      <c r="L60" s="136"/>
      <c r="M60" s="135" t="s">
        <v>7</v>
      </c>
      <c r="N60" s="136"/>
      <c r="O60" s="135" t="s">
        <v>8</v>
      </c>
      <c r="P60" s="136"/>
      <c r="Q60" s="135" t="s">
        <v>9</v>
      </c>
      <c r="R60" s="136"/>
      <c r="S60" s="135" t="s">
        <v>10</v>
      </c>
      <c r="T60" s="136"/>
      <c r="U60" s="135" t="s">
        <v>11</v>
      </c>
      <c r="V60" s="136"/>
      <c r="W60" s="167" t="s">
        <v>12</v>
      </c>
      <c r="X60" s="110"/>
      <c r="Y60" s="167" t="s">
        <v>13</v>
      </c>
      <c r="Z60" s="167" t="s">
        <v>14</v>
      </c>
      <c r="AA60" s="167" t="s">
        <v>77</v>
      </c>
      <c r="AB60" s="139"/>
      <c r="AC60" s="140"/>
      <c r="AD60" s="6" t="s">
        <v>16</v>
      </c>
      <c r="AE60" s="7"/>
      <c r="AK60" s="70"/>
      <c r="AL60" s="71"/>
    </row>
    <row r="61" spans="1:40" s="4" customFormat="1" ht="138" customHeight="1" thickBot="1" x14ac:dyDescent="2.4">
      <c r="B61" s="168"/>
      <c r="C61" s="9" t="s">
        <v>17</v>
      </c>
      <c r="D61" s="9" t="s">
        <v>18</v>
      </c>
      <c r="E61" s="9" t="s">
        <v>17</v>
      </c>
      <c r="F61" s="9" t="s">
        <v>18</v>
      </c>
      <c r="G61" s="9" t="s">
        <v>17</v>
      </c>
      <c r="H61" s="9" t="s">
        <v>18</v>
      </c>
      <c r="I61" s="9" t="s">
        <v>17</v>
      </c>
      <c r="J61" s="9" t="s">
        <v>18</v>
      </c>
      <c r="K61" s="9" t="s">
        <v>17</v>
      </c>
      <c r="L61" s="9" t="s">
        <v>18</v>
      </c>
      <c r="M61" s="9" t="s">
        <v>17</v>
      </c>
      <c r="N61" s="9" t="s">
        <v>18</v>
      </c>
      <c r="O61" s="9" t="s">
        <v>17</v>
      </c>
      <c r="P61" s="9" t="s">
        <v>18</v>
      </c>
      <c r="Q61" s="9" t="s">
        <v>17</v>
      </c>
      <c r="R61" s="9" t="s">
        <v>18</v>
      </c>
      <c r="S61" s="9" t="s">
        <v>17</v>
      </c>
      <c r="T61" s="9" t="s">
        <v>18</v>
      </c>
      <c r="U61" s="9" t="s">
        <v>17</v>
      </c>
      <c r="V61" s="9" t="s">
        <v>18</v>
      </c>
      <c r="W61" s="168"/>
      <c r="X61" s="111"/>
      <c r="Y61" s="168"/>
      <c r="Z61" s="168"/>
      <c r="AA61" s="168"/>
      <c r="AB61" s="10"/>
      <c r="AC61" s="11"/>
      <c r="AD61" s="6"/>
      <c r="AE61" s="7"/>
      <c r="AF61" s="2"/>
      <c r="AG61" s="2"/>
      <c r="AH61" s="2"/>
      <c r="AI61" s="2"/>
      <c r="AJ61" s="2"/>
      <c r="AK61" s="8"/>
      <c r="AL61" s="8"/>
    </row>
    <row r="62" spans="1:40" s="12" customFormat="1" ht="113.25" customHeight="1" x14ac:dyDescent="2.1">
      <c r="B62" s="13" t="s">
        <v>78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12">
        <v>0</v>
      </c>
      <c r="Y62" s="14">
        <f t="shared" ref="Y62:Y68" si="19">SUM(C62,E62,G62,I62,K62,,M62,O62,Q62,S62,U62,W62)</f>
        <v>0</v>
      </c>
      <c r="Z62" s="14">
        <f t="shared" ref="Z62:Z68" si="20">SUM(D62,F62,H62,J62,L62,,N62,P62,R62,T62,V62)</f>
        <v>0</v>
      </c>
      <c r="AA62" s="13" t="s">
        <v>78</v>
      </c>
      <c r="AB62" s="171">
        <f>SUM(Y62:Y68)</f>
        <v>0</v>
      </c>
      <c r="AC62" s="172"/>
      <c r="AD62" s="16">
        <f>X62</f>
        <v>0</v>
      </c>
      <c r="AE62" s="17"/>
      <c r="AF62" s="72"/>
      <c r="AG62" s="73"/>
      <c r="AH62" s="73"/>
      <c r="AI62" s="73"/>
      <c r="AJ62" s="74"/>
      <c r="AK62" s="70"/>
      <c r="AL62" s="71"/>
    </row>
    <row r="63" spans="1:40" s="12" customFormat="1" ht="113.25" customHeight="1" x14ac:dyDescent="2.1">
      <c r="B63" s="13" t="s">
        <v>79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12">
        <v>0</v>
      </c>
      <c r="Y63" s="14">
        <f t="shared" si="19"/>
        <v>0</v>
      </c>
      <c r="Z63" s="14">
        <f t="shared" si="20"/>
        <v>0</v>
      </c>
      <c r="AA63" s="13" t="s">
        <v>79</v>
      </c>
      <c r="AB63" s="211"/>
      <c r="AC63" s="212"/>
      <c r="AD63" s="16">
        <f t="shared" ref="AD63:AD68" si="21">X63</f>
        <v>0</v>
      </c>
      <c r="AE63" s="17"/>
      <c r="AF63" s="213" t="s">
        <v>77</v>
      </c>
      <c r="AG63" s="214"/>
      <c r="AH63" s="214"/>
      <c r="AI63" s="214"/>
      <c r="AJ63" s="215"/>
      <c r="AK63" s="70"/>
      <c r="AL63" s="71"/>
    </row>
    <row r="64" spans="1:40" s="12" customFormat="1" ht="113.25" customHeight="1" x14ac:dyDescent="2.1">
      <c r="B64" s="13" t="s">
        <v>80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12">
        <v>0</v>
      </c>
      <c r="Y64" s="14">
        <f t="shared" si="19"/>
        <v>0</v>
      </c>
      <c r="Z64" s="14">
        <f t="shared" si="20"/>
        <v>0</v>
      </c>
      <c r="AA64" s="13" t="s">
        <v>80</v>
      </c>
      <c r="AB64" s="211"/>
      <c r="AC64" s="212"/>
      <c r="AD64" s="16">
        <f t="shared" si="21"/>
        <v>0</v>
      </c>
      <c r="AE64" s="17"/>
      <c r="AF64" s="216">
        <f>SUM(AD62:AD68)</f>
        <v>0</v>
      </c>
      <c r="AG64" s="217"/>
      <c r="AH64" s="217"/>
      <c r="AI64" s="217"/>
      <c r="AJ64" s="218"/>
      <c r="AK64" s="70"/>
      <c r="AL64" s="71"/>
    </row>
    <row r="65" spans="2:40" s="12" customFormat="1" ht="113.25" customHeight="1" x14ac:dyDescent="2.1">
      <c r="B65" s="13" t="s">
        <v>81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12">
        <v>0</v>
      </c>
      <c r="Y65" s="14">
        <f t="shared" si="19"/>
        <v>0</v>
      </c>
      <c r="Z65" s="14">
        <f t="shared" si="20"/>
        <v>0</v>
      </c>
      <c r="AA65" s="13" t="s">
        <v>81</v>
      </c>
      <c r="AB65" s="211"/>
      <c r="AC65" s="212"/>
      <c r="AD65" s="16">
        <f t="shared" si="21"/>
        <v>0</v>
      </c>
      <c r="AE65" s="17"/>
      <c r="AF65" s="56"/>
      <c r="AG65" s="54"/>
      <c r="AH65" s="54"/>
      <c r="AI65" s="54"/>
      <c r="AJ65" s="55"/>
      <c r="AK65" s="70"/>
      <c r="AL65" s="71"/>
    </row>
    <row r="66" spans="2:40" s="12" customFormat="1" ht="113.25" customHeight="1" x14ac:dyDescent="2.1">
      <c r="B66" s="13" t="s">
        <v>82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12">
        <v>0</v>
      </c>
      <c r="Y66" s="14">
        <f t="shared" si="19"/>
        <v>0</v>
      </c>
      <c r="Z66" s="14">
        <f t="shared" si="20"/>
        <v>0</v>
      </c>
      <c r="AA66" s="13" t="s">
        <v>82</v>
      </c>
      <c r="AB66" s="211"/>
      <c r="AC66" s="212"/>
      <c r="AD66" s="16">
        <f t="shared" si="21"/>
        <v>0</v>
      </c>
      <c r="AE66" s="17"/>
      <c r="AF66" s="56"/>
      <c r="AG66" s="54"/>
      <c r="AH66" s="54"/>
      <c r="AI66" s="54"/>
      <c r="AJ66" s="55"/>
      <c r="AK66" s="70"/>
      <c r="AL66" s="71"/>
    </row>
    <row r="67" spans="2:40" s="12" customFormat="1" ht="113.25" customHeight="1" x14ac:dyDescent="2.1">
      <c r="B67" s="13" t="s">
        <v>83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12">
        <v>0</v>
      </c>
      <c r="Y67" s="14">
        <f t="shared" si="19"/>
        <v>0</v>
      </c>
      <c r="Z67" s="14">
        <f t="shared" si="20"/>
        <v>0</v>
      </c>
      <c r="AA67" s="13" t="s">
        <v>83</v>
      </c>
      <c r="AB67" s="173"/>
      <c r="AC67" s="174"/>
      <c r="AD67" s="16">
        <f t="shared" si="21"/>
        <v>0</v>
      </c>
      <c r="AE67" s="17"/>
      <c r="AF67" s="58"/>
      <c r="AG67" s="2"/>
      <c r="AH67" s="2"/>
      <c r="AI67" s="2"/>
      <c r="AJ67" s="57"/>
      <c r="AK67" s="70"/>
      <c r="AL67" s="71"/>
    </row>
    <row r="68" spans="2:40" s="12" customFormat="1" ht="113.25" customHeight="1" x14ac:dyDescent="2.1">
      <c r="B68" s="13" t="s">
        <v>84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12">
        <v>0</v>
      </c>
      <c r="Y68" s="14">
        <f t="shared" si="19"/>
        <v>0</v>
      </c>
      <c r="Z68" s="14">
        <f t="shared" si="20"/>
        <v>0</v>
      </c>
      <c r="AA68" s="13" t="s">
        <v>84</v>
      </c>
      <c r="AB68" s="149"/>
      <c r="AC68" s="150"/>
      <c r="AD68" s="16">
        <f t="shared" si="21"/>
        <v>0</v>
      </c>
      <c r="AE68" s="17"/>
      <c r="AF68" s="2"/>
      <c r="AG68" s="2"/>
      <c r="AH68" s="2"/>
      <c r="AI68" s="2"/>
      <c r="AJ68" s="2"/>
      <c r="AK68" s="70"/>
      <c r="AL68" s="71"/>
    </row>
    <row r="69" spans="2:40" s="12" customFormat="1" ht="113.25" customHeight="1" x14ac:dyDescent="2.1">
      <c r="B69" s="13"/>
      <c r="C69" s="30">
        <f t="shared" ref="C69:W69" si="22">SUM(C62:C68)</f>
        <v>0</v>
      </c>
      <c r="D69" s="30">
        <f t="shared" si="22"/>
        <v>0</v>
      </c>
      <c r="E69" s="30">
        <f t="shared" si="22"/>
        <v>0</v>
      </c>
      <c r="F69" s="30">
        <f t="shared" si="22"/>
        <v>0</v>
      </c>
      <c r="G69" s="30">
        <f t="shared" si="22"/>
        <v>0</v>
      </c>
      <c r="H69" s="30">
        <f t="shared" si="22"/>
        <v>0</v>
      </c>
      <c r="I69" s="30">
        <f t="shared" si="22"/>
        <v>0</v>
      </c>
      <c r="J69" s="30">
        <f t="shared" si="22"/>
        <v>0</v>
      </c>
      <c r="K69" s="30">
        <f t="shared" si="22"/>
        <v>0</v>
      </c>
      <c r="L69" s="30">
        <f t="shared" si="22"/>
        <v>0</v>
      </c>
      <c r="M69" s="30">
        <f t="shared" si="22"/>
        <v>0</v>
      </c>
      <c r="N69" s="30">
        <f t="shared" si="22"/>
        <v>0</v>
      </c>
      <c r="O69" s="30">
        <f t="shared" si="22"/>
        <v>0</v>
      </c>
      <c r="P69" s="30">
        <f t="shared" si="22"/>
        <v>0</v>
      </c>
      <c r="Q69" s="30">
        <f t="shared" si="22"/>
        <v>0</v>
      </c>
      <c r="R69" s="30">
        <f t="shared" si="22"/>
        <v>0</v>
      </c>
      <c r="S69" s="30">
        <f t="shared" si="22"/>
        <v>0</v>
      </c>
      <c r="T69" s="30">
        <f t="shared" si="22"/>
        <v>0</v>
      </c>
      <c r="U69" s="30">
        <f t="shared" si="22"/>
        <v>0</v>
      </c>
      <c r="V69" s="30">
        <f t="shared" si="22"/>
        <v>0</v>
      </c>
      <c r="W69" s="30">
        <f t="shared" si="22"/>
        <v>0</v>
      </c>
      <c r="X69" s="113"/>
      <c r="Y69" s="14"/>
      <c r="Z69" s="14"/>
      <c r="AA69" s="13"/>
      <c r="AB69" s="149"/>
      <c r="AC69" s="150"/>
      <c r="AD69" s="16">
        <v>0</v>
      </c>
      <c r="AE69" s="17"/>
      <c r="AF69" s="2"/>
      <c r="AG69" s="2"/>
      <c r="AH69" s="2"/>
      <c r="AI69" s="2"/>
      <c r="AJ69" s="2"/>
      <c r="AK69" s="70"/>
      <c r="AL69" s="71"/>
    </row>
    <row r="70" spans="2:40" s="4" customFormat="1" ht="132" customHeight="1" thickBot="1" x14ac:dyDescent="2.4">
      <c r="B70" s="48" t="s">
        <v>1</v>
      </c>
      <c r="C70" s="135" t="s">
        <v>2</v>
      </c>
      <c r="D70" s="136"/>
      <c r="E70" s="135" t="s">
        <v>3</v>
      </c>
      <c r="F70" s="136"/>
      <c r="G70" s="135" t="s">
        <v>4</v>
      </c>
      <c r="H70" s="136"/>
      <c r="I70" s="135" t="s">
        <v>5</v>
      </c>
      <c r="J70" s="136"/>
      <c r="K70" s="135" t="s">
        <v>6</v>
      </c>
      <c r="L70" s="136"/>
      <c r="M70" s="135" t="s">
        <v>7</v>
      </c>
      <c r="N70" s="136"/>
      <c r="O70" s="135" t="s">
        <v>8</v>
      </c>
      <c r="P70" s="136"/>
      <c r="Q70" s="135" t="s">
        <v>9</v>
      </c>
      <c r="R70" s="136"/>
      <c r="S70" s="135" t="s">
        <v>10</v>
      </c>
      <c r="T70" s="136"/>
      <c r="U70" s="135" t="s">
        <v>11</v>
      </c>
      <c r="V70" s="136"/>
      <c r="W70" s="9" t="s">
        <v>12</v>
      </c>
      <c r="X70" s="118"/>
      <c r="Y70" s="49" t="s">
        <v>13</v>
      </c>
      <c r="Z70" s="49" t="s">
        <v>14</v>
      </c>
      <c r="AA70" s="48" t="s">
        <v>1</v>
      </c>
      <c r="AB70" s="139"/>
      <c r="AC70" s="140"/>
      <c r="AD70" s="6" t="s">
        <v>16</v>
      </c>
      <c r="AE70" s="7"/>
      <c r="AF70" s="2"/>
      <c r="AG70" s="2"/>
      <c r="AH70" s="2"/>
      <c r="AI70" s="2"/>
      <c r="AJ70" s="2"/>
      <c r="AK70" s="8"/>
      <c r="AL70" s="8"/>
      <c r="AM70" s="12"/>
      <c r="AN70" s="12"/>
    </row>
    <row r="71" spans="2:40" s="12" customFormat="1" ht="113.25" customHeight="1" x14ac:dyDescent="2.1">
      <c r="B71" s="13" t="s">
        <v>85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12">
        <v>0</v>
      </c>
      <c r="Y71" s="14">
        <f>SUM(C71,E71,G71,I71,K71,,M71,O71,Q71,S71,U71,W71)</f>
        <v>0</v>
      </c>
      <c r="Z71" s="14">
        <f>SUM(D71,F71,H71,J71,L71,,N71,P71,R71,T71,V71)</f>
        <v>0</v>
      </c>
      <c r="AA71" s="13" t="s">
        <v>85</v>
      </c>
      <c r="AB71" s="171">
        <f>SUM(Y71:Y72)</f>
        <v>0</v>
      </c>
      <c r="AC71" s="172"/>
      <c r="AD71" s="16">
        <f>X71</f>
        <v>0</v>
      </c>
      <c r="AE71" s="17"/>
      <c r="AF71" s="209" t="s">
        <v>86</v>
      </c>
      <c r="AG71" s="210"/>
      <c r="AH71" s="210"/>
      <c r="AI71" s="210"/>
      <c r="AJ71" s="210"/>
      <c r="AK71" s="201">
        <f>SUM(AD71:AD81)</f>
        <v>0</v>
      </c>
      <c r="AL71" s="202"/>
      <c r="AM71" s="29"/>
      <c r="AN71" s="29"/>
    </row>
    <row r="72" spans="2:40" s="29" customFormat="1" ht="113.25" customHeight="1" thickBot="1" x14ac:dyDescent="2.15">
      <c r="B72" s="38" t="s">
        <v>87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12">
        <v>0</v>
      </c>
      <c r="Y72" s="14">
        <f>SUM(C72,E72,G72,I72,K72,,M72,O72,Q72,S72,U72,W72)</f>
        <v>0</v>
      </c>
      <c r="Z72" s="14">
        <f>SUM(D72,F72,H72,J72,L72,,N72,P72,R72,T72,V72)</f>
        <v>0</v>
      </c>
      <c r="AA72" s="38" t="s">
        <v>87</v>
      </c>
      <c r="AB72" s="173"/>
      <c r="AC72" s="174"/>
      <c r="AD72" s="16">
        <f t="shared" ref="AD72:AD86" si="23">X72</f>
        <v>0</v>
      </c>
      <c r="AE72" s="75"/>
      <c r="AF72" s="197">
        <f>+AD71+AD72</f>
        <v>0</v>
      </c>
      <c r="AG72" s="198"/>
      <c r="AH72" s="198"/>
      <c r="AI72" s="198"/>
      <c r="AJ72" s="198"/>
      <c r="AK72" s="203"/>
      <c r="AL72" s="204"/>
      <c r="AM72" s="12"/>
      <c r="AN72" s="12"/>
    </row>
    <row r="73" spans="2:40" s="29" customFormat="1" ht="113.25" customHeight="1" thickBot="1" x14ac:dyDescent="2.15">
      <c r="B73" s="38"/>
      <c r="C73" s="30">
        <f>SUM(C71:C72)</f>
        <v>0</v>
      </c>
      <c r="D73" s="30">
        <f t="shared" ref="D73:W73" si="24">SUM(D71:D72)</f>
        <v>0</v>
      </c>
      <c r="E73" s="30">
        <f t="shared" si="24"/>
        <v>0</v>
      </c>
      <c r="F73" s="30">
        <f t="shared" si="24"/>
        <v>0</v>
      </c>
      <c r="G73" s="30">
        <f t="shared" si="24"/>
        <v>0</v>
      </c>
      <c r="H73" s="30">
        <f t="shared" si="24"/>
        <v>0</v>
      </c>
      <c r="I73" s="30">
        <f t="shared" si="24"/>
        <v>0</v>
      </c>
      <c r="J73" s="30">
        <f t="shared" si="24"/>
        <v>0</v>
      </c>
      <c r="K73" s="30">
        <f t="shared" si="24"/>
        <v>0</v>
      </c>
      <c r="L73" s="30">
        <f t="shared" si="24"/>
        <v>0</v>
      </c>
      <c r="M73" s="30">
        <f t="shared" si="24"/>
        <v>0</v>
      </c>
      <c r="N73" s="30">
        <f t="shared" si="24"/>
        <v>0</v>
      </c>
      <c r="O73" s="30">
        <f t="shared" si="24"/>
        <v>0</v>
      </c>
      <c r="P73" s="30">
        <f t="shared" si="24"/>
        <v>0</v>
      </c>
      <c r="Q73" s="30">
        <f t="shared" si="24"/>
        <v>0</v>
      </c>
      <c r="R73" s="30">
        <f t="shared" si="24"/>
        <v>0</v>
      </c>
      <c r="S73" s="30">
        <f t="shared" si="24"/>
        <v>0</v>
      </c>
      <c r="T73" s="30">
        <f t="shared" si="24"/>
        <v>0</v>
      </c>
      <c r="U73" s="30">
        <f t="shared" si="24"/>
        <v>0</v>
      </c>
      <c r="V73" s="30">
        <f t="shared" si="24"/>
        <v>0</v>
      </c>
      <c r="W73" s="30">
        <f t="shared" si="24"/>
        <v>0</v>
      </c>
      <c r="X73" s="113">
        <v>0</v>
      </c>
      <c r="Y73" s="14"/>
      <c r="Z73" s="14"/>
      <c r="AA73" s="38"/>
      <c r="AB73" s="205"/>
      <c r="AC73" s="206"/>
      <c r="AD73" s="16">
        <f t="shared" si="23"/>
        <v>0</v>
      </c>
      <c r="AE73" s="75"/>
      <c r="AF73" s="44"/>
      <c r="AG73" s="76"/>
      <c r="AH73" s="76"/>
      <c r="AI73" s="76"/>
      <c r="AJ73" s="76"/>
      <c r="AK73" s="203"/>
      <c r="AL73" s="204"/>
      <c r="AM73" s="12"/>
      <c r="AN73" s="12"/>
    </row>
    <row r="74" spans="2:40" s="12" customFormat="1" ht="113.25" customHeight="1" x14ac:dyDescent="2.1">
      <c r="B74" s="13" t="s">
        <v>88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16">
        <v>0</v>
      </c>
      <c r="Y74" s="14">
        <f t="shared" ref="Y74:Y86" si="25">SUM(C74,E74,G74,I74,K74,,M74,O74,Q74,S74,U74,W74)</f>
        <v>0</v>
      </c>
      <c r="Z74" s="14">
        <f t="shared" ref="Z74:Z86" si="26">SUM(D74,F74,H74,J74,L74,,N74,P74,R74,T74,V74)</f>
        <v>0</v>
      </c>
      <c r="AA74" s="13" t="s">
        <v>88</v>
      </c>
      <c r="AB74" s="171">
        <f>SUM(Y74:Y75)</f>
        <v>0</v>
      </c>
      <c r="AC74" s="172"/>
      <c r="AD74" s="16">
        <f t="shared" si="23"/>
        <v>0</v>
      </c>
      <c r="AE74" s="17"/>
      <c r="AF74" s="175" t="s">
        <v>89</v>
      </c>
      <c r="AG74" s="176"/>
      <c r="AH74" s="176"/>
      <c r="AI74" s="176"/>
      <c r="AJ74" s="176"/>
      <c r="AK74" s="203"/>
      <c r="AL74" s="204"/>
    </row>
    <row r="75" spans="2:40" s="12" customFormat="1" ht="113.25" customHeight="1" thickBot="1" x14ac:dyDescent="2.15">
      <c r="B75" s="13" t="s">
        <v>90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16">
        <v>0</v>
      </c>
      <c r="Y75" s="14">
        <f t="shared" si="25"/>
        <v>0</v>
      </c>
      <c r="Z75" s="14">
        <f t="shared" si="26"/>
        <v>0</v>
      </c>
      <c r="AA75" s="13" t="s">
        <v>90</v>
      </c>
      <c r="AB75" s="173"/>
      <c r="AC75" s="174"/>
      <c r="AD75" s="16">
        <f t="shared" si="23"/>
        <v>0</v>
      </c>
      <c r="AE75" s="17"/>
      <c r="AF75" s="197">
        <f>+AD74+AD75</f>
        <v>0</v>
      </c>
      <c r="AG75" s="198"/>
      <c r="AH75" s="198"/>
      <c r="AI75" s="198"/>
      <c r="AJ75" s="198"/>
      <c r="AK75" s="203"/>
      <c r="AL75" s="204"/>
    </row>
    <row r="76" spans="2:40" s="12" customFormat="1" ht="113.25" customHeight="1" x14ac:dyDescent="2.1">
      <c r="B76" s="13" t="s">
        <v>91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12">
        <v>0</v>
      </c>
      <c r="Y76" s="14">
        <f t="shared" si="25"/>
        <v>0</v>
      </c>
      <c r="Z76" s="14">
        <f t="shared" si="26"/>
        <v>0</v>
      </c>
      <c r="AA76" s="13" t="s">
        <v>91</v>
      </c>
      <c r="AB76" s="171">
        <f>SUM(Y76:Y77)</f>
        <v>0</v>
      </c>
      <c r="AC76" s="172"/>
      <c r="AD76" s="16">
        <f t="shared" si="23"/>
        <v>0</v>
      </c>
      <c r="AE76" s="17"/>
      <c r="AF76" s="175" t="s">
        <v>92</v>
      </c>
      <c r="AG76" s="176"/>
      <c r="AH76" s="176"/>
      <c r="AI76" s="176"/>
      <c r="AJ76" s="176"/>
      <c r="AK76" s="203"/>
      <c r="AL76" s="204"/>
    </row>
    <row r="77" spans="2:40" s="12" customFormat="1" ht="113.25" customHeight="1" thickBot="1" x14ac:dyDescent="2.15">
      <c r="B77" s="13" t="s">
        <v>93</v>
      </c>
      <c r="C77" s="14">
        <v>0</v>
      </c>
      <c r="D77" s="14">
        <v>0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12">
        <v>0</v>
      </c>
      <c r="Y77" s="14">
        <f t="shared" si="25"/>
        <v>0</v>
      </c>
      <c r="Z77" s="14">
        <f t="shared" si="26"/>
        <v>0</v>
      </c>
      <c r="AA77" s="13" t="s">
        <v>93</v>
      </c>
      <c r="AB77" s="173"/>
      <c r="AC77" s="174"/>
      <c r="AD77" s="16">
        <f t="shared" si="23"/>
        <v>0</v>
      </c>
      <c r="AE77" s="17"/>
      <c r="AF77" s="197">
        <f>+AD76+AD77</f>
        <v>0</v>
      </c>
      <c r="AG77" s="198"/>
      <c r="AH77" s="198"/>
      <c r="AI77" s="198"/>
      <c r="AJ77" s="198"/>
      <c r="AK77" s="203"/>
      <c r="AL77" s="204"/>
    </row>
    <row r="78" spans="2:40" s="12" customFormat="1" ht="113.25" customHeight="1" x14ac:dyDescent="2.1">
      <c r="B78" s="13" t="s">
        <v>94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16">
        <v>0</v>
      </c>
      <c r="Y78" s="14">
        <f t="shared" si="25"/>
        <v>0</v>
      </c>
      <c r="Z78" s="14">
        <f t="shared" si="26"/>
        <v>0</v>
      </c>
      <c r="AA78" s="13" t="s">
        <v>94</v>
      </c>
      <c r="AB78" s="171">
        <f>SUM(Y78:Y79)</f>
        <v>0</v>
      </c>
      <c r="AC78" s="172"/>
      <c r="AD78" s="16">
        <f t="shared" si="23"/>
        <v>0</v>
      </c>
      <c r="AE78" s="17"/>
      <c r="AF78" s="175" t="s">
        <v>95</v>
      </c>
      <c r="AG78" s="176"/>
      <c r="AH78" s="176"/>
      <c r="AI78" s="176"/>
      <c r="AJ78" s="176"/>
      <c r="AK78" s="203"/>
      <c r="AL78" s="204"/>
    </row>
    <row r="79" spans="2:40" s="12" customFormat="1" ht="113.25" customHeight="1" thickBot="1" x14ac:dyDescent="2.15">
      <c r="B79" s="13" t="s">
        <v>96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12">
        <v>0</v>
      </c>
      <c r="Y79" s="14">
        <f t="shared" si="25"/>
        <v>0</v>
      </c>
      <c r="Z79" s="14">
        <f t="shared" si="26"/>
        <v>0</v>
      </c>
      <c r="AA79" s="13" t="s">
        <v>96</v>
      </c>
      <c r="AB79" s="173"/>
      <c r="AC79" s="174"/>
      <c r="AD79" s="16">
        <f t="shared" si="23"/>
        <v>0</v>
      </c>
      <c r="AE79" s="17"/>
      <c r="AF79" s="197">
        <f>+AD78+AD79</f>
        <v>0</v>
      </c>
      <c r="AG79" s="198"/>
      <c r="AH79" s="198"/>
      <c r="AI79" s="198"/>
      <c r="AJ79" s="198"/>
      <c r="AK79" s="77"/>
      <c r="AL79" s="78"/>
    </row>
    <row r="80" spans="2:40" s="12" customFormat="1" ht="113.25" customHeight="1" x14ac:dyDescent="2.1">
      <c r="B80" s="13" t="s">
        <v>97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12">
        <v>0</v>
      </c>
      <c r="Y80" s="14">
        <f t="shared" si="25"/>
        <v>0</v>
      </c>
      <c r="Z80" s="14">
        <f t="shared" si="26"/>
        <v>0</v>
      </c>
      <c r="AA80" s="13" t="s">
        <v>97</v>
      </c>
      <c r="AB80" s="171">
        <f>SUM(Y80:Y81)</f>
        <v>0</v>
      </c>
      <c r="AC80" s="172"/>
      <c r="AD80" s="16">
        <f t="shared" si="23"/>
        <v>0</v>
      </c>
      <c r="AE80" s="17"/>
      <c r="AF80" s="175" t="s">
        <v>98</v>
      </c>
      <c r="AG80" s="176"/>
      <c r="AH80" s="176"/>
      <c r="AI80" s="176"/>
      <c r="AJ80" s="176"/>
      <c r="AK80" s="199" t="s">
        <v>99</v>
      </c>
      <c r="AL80" s="200"/>
    </row>
    <row r="81" spans="1:38" s="12" customFormat="1" ht="113.25" customHeight="1" thickBot="1" x14ac:dyDescent="2.15">
      <c r="B81" s="13" t="s">
        <v>100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12">
        <v>0</v>
      </c>
      <c r="Y81" s="14">
        <f t="shared" si="25"/>
        <v>0</v>
      </c>
      <c r="Z81" s="14">
        <f t="shared" si="26"/>
        <v>0</v>
      </c>
      <c r="AA81" s="13" t="s">
        <v>100</v>
      </c>
      <c r="AB81" s="173"/>
      <c r="AC81" s="174"/>
      <c r="AD81" s="16">
        <f t="shared" si="23"/>
        <v>0</v>
      </c>
      <c r="AE81" s="17"/>
      <c r="AF81" s="197">
        <f>+AD80+AD81</f>
        <v>0</v>
      </c>
      <c r="AG81" s="198"/>
      <c r="AH81" s="198"/>
      <c r="AI81" s="198"/>
      <c r="AJ81" s="198"/>
      <c r="AK81" s="199"/>
      <c r="AL81" s="200"/>
    </row>
    <row r="82" spans="1:38" s="12" customFormat="1" ht="105.75" customHeight="1" x14ac:dyDescent="2.1">
      <c r="B82" s="13" t="s">
        <v>101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12">
        <v>0</v>
      </c>
      <c r="Y82" s="14">
        <f t="shared" si="25"/>
        <v>0</v>
      </c>
      <c r="Z82" s="14">
        <f t="shared" si="26"/>
        <v>0</v>
      </c>
      <c r="AA82" s="13" t="s">
        <v>101</v>
      </c>
      <c r="AB82" s="149"/>
      <c r="AC82" s="150"/>
      <c r="AD82" s="16">
        <f t="shared" si="23"/>
        <v>0</v>
      </c>
      <c r="AE82" s="17"/>
      <c r="AF82" s="45"/>
      <c r="AG82" s="76"/>
      <c r="AH82" s="76"/>
      <c r="AI82" s="76"/>
      <c r="AJ82" s="76"/>
      <c r="AK82" s="199"/>
      <c r="AL82" s="200"/>
    </row>
    <row r="83" spans="1:38" s="12" customFormat="1" ht="105.75" customHeight="1" x14ac:dyDescent="2.1">
      <c r="B83" s="13" t="s">
        <v>102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12">
        <v>0</v>
      </c>
      <c r="Y83" s="14">
        <f t="shared" si="25"/>
        <v>0</v>
      </c>
      <c r="Z83" s="14">
        <f t="shared" si="26"/>
        <v>0</v>
      </c>
      <c r="AA83" s="13" t="s">
        <v>102</v>
      </c>
      <c r="AB83" s="149"/>
      <c r="AC83" s="150"/>
      <c r="AD83" s="16">
        <f t="shared" si="23"/>
        <v>0</v>
      </c>
      <c r="AE83" s="17"/>
      <c r="AF83" s="45"/>
      <c r="AG83" s="76"/>
      <c r="AH83" s="76"/>
      <c r="AI83" s="76"/>
      <c r="AJ83" s="76"/>
      <c r="AK83" s="199"/>
      <c r="AL83" s="200"/>
    </row>
    <row r="84" spans="1:38" s="12" customFormat="1" ht="105.75" customHeight="1" x14ac:dyDescent="2.1">
      <c r="B84" s="13" t="s">
        <v>103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12">
        <v>0</v>
      </c>
      <c r="Y84" s="14">
        <f t="shared" si="25"/>
        <v>0</v>
      </c>
      <c r="Z84" s="14">
        <f t="shared" si="26"/>
        <v>0</v>
      </c>
      <c r="AA84" s="13" t="s">
        <v>103</v>
      </c>
      <c r="AB84" s="149"/>
      <c r="AC84" s="150"/>
      <c r="AD84" s="16">
        <f t="shared" si="23"/>
        <v>0</v>
      </c>
      <c r="AE84" s="17"/>
      <c r="AF84" s="45"/>
      <c r="AG84" s="76"/>
      <c r="AH84" s="76"/>
      <c r="AI84" s="76"/>
      <c r="AJ84" s="76"/>
      <c r="AK84" s="199"/>
      <c r="AL84" s="200"/>
    </row>
    <row r="85" spans="1:38" s="12" customFormat="1" ht="105.75" customHeight="1" x14ac:dyDescent="2.1">
      <c r="B85" s="13" t="s">
        <v>104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12">
        <v>0</v>
      </c>
      <c r="Y85" s="14">
        <f t="shared" si="25"/>
        <v>0</v>
      </c>
      <c r="Z85" s="14">
        <f t="shared" si="26"/>
        <v>0</v>
      </c>
      <c r="AA85" s="13" t="s">
        <v>104</v>
      </c>
      <c r="AB85" s="149"/>
      <c r="AC85" s="150"/>
      <c r="AD85" s="16">
        <f t="shared" si="23"/>
        <v>0</v>
      </c>
      <c r="AE85" s="17"/>
      <c r="AF85" s="45"/>
      <c r="AG85" s="76"/>
      <c r="AH85" s="76"/>
      <c r="AI85" s="76"/>
      <c r="AJ85" s="76"/>
      <c r="AK85" s="199"/>
      <c r="AL85" s="200"/>
    </row>
    <row r="86" spans="1:38" s="12" customFormat="1" ht="105.75" customHeight="1" x14ac:dyDescent="2.1">
      <c r="B86" s="13" t="s">
        <v>105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12">
        <v>0</v>
      </c>
      <c r="Y86" s="14">
        <f t="shared" si="25"/>
        <v>0</v>
      </c>
      <c r="Z86" s="14">
        <f t="shared" si="26"/>
        <v>0</v>
      </c>
      <c r="AA86" s="13" t="s">
        <v>105</v>
      </c>
      <c r="AB86" s="207">
        <f>SUM(Y86:Y86)</f>
        <v>0</v>
      </c>
      <c r="AC86" s="208"/>
      <c r="AD86" s="16">
        <f t="shared" si="23"/>
        <v>0</v>
      </c>
      <c r="AE86" s="17"/>
      <c r="AF86" s="2"/>
      <c r="AG86" s="2"/>
      <c r="AH86" s="2"/>
      <c r="AI86" s="2"/>
      <c r="AJ86" s="2"/>
      <c r="AK86" s="199"/>
      <c r="AL86" s="200"/>
    </row>
    <row r="87" spans="1:38" ht="123.75" customHeight="1" x14ac:dyDescent="2.1">
      <c r="B87" s="79" t="s">
        <v>106</v>
      </c>
      <c r="C87" s="135" t="s">
        <v>2</v>
      </c>
      <c r="D87" s="136"/>
      <c r="E87" s="135" t="s">
        <v>3</v>
      </c>
      <c r="F87" s="136"/>
      <c r="G87" s="135" t="s">
        <v>4</v>
      </c>
      <c r="H87" s="136"/>
      <c r="I87" s="135" t="s">
        <v>5</v>
      </c>
      <c r="J87" s="136"/>
      <c r="K87" s="135" t="s">
        <v>6</v>
      </c>
      <c r="L87" s="136"/>
      <c r="M87" s="135" t="s">
        <v>7</v>
      </c>
      <c r="N87" s="136"/>
      <c r="O87" s="135" t="s">
        <v>8</v>
      </c>
      <c r="P87" s="136"/>
      <c r="Q87" s="135" t="s">
        <v>9</v>
      </c>
      <c r="R87" s="136"/>
      <c r="S87" s="135" t="s">
        <v>10</v>
      </c>
      <c r="T87" s="136"/>
      <c r="U87" s="135" t="s">
        <v>11</v>
      </c>
      <c r="V87" s="136"/>
      <c r="W87" s="9" t="s">
        <v>12</v>
      </c>
      <c r="X87" s="118"/>
      <c r="Y87" s="49" t="s">
        <v>13</v>
      </c>
      <c r="Z87" s="49" t="s">
        <v>14</v>
      </c>
      <c r="AA87" s="79" t="s">
        <v>106</v>
      </c>
      <c r="AB87" s="139"/>
      <c r="AC87" s="140"/>
      <c r="AD87" s="6" t="s">
        <v>16</v>
      </c>
      <c r="AE87" s="7"/>
      <c r="AK87" s="194">
        <f>SUM(AD88:AD137)</f>
        <v>0</v>
      </c>
      <c r="AL87" s="195"/>
    </row>
    <row r="88" spans="1:38" ht="123.75" customHeight="1" x14ac:dyDescent="2.1">
      <c r="B88" s="15" t="s">
        <v>107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12">
        <v>0</v>
      </c>
      <c r="Y88" s="14">
        <f>SUM(C88,E88,G88,I88,K88,,M88,O88,Q88,S88,U88,W88)</f>
        <v>0</v>
      </c>
      <c r="Z88" s="14">
        <f>SUM(D88,F88,H88,J88,L88,,N88,P88,R88,T88,V88)</f>
        <v>0</v>
      </c>
      <c r="AA88" s="15" t="s">
        <v>107</v>
      </c>
      <c r="AB88" s="145"/>
      <c r="AC88" s="146"/>
      <c r="AD88" s="16">
        <f>X88</f>
        <v>0</v>
      </c>
      <c r="AE88" s="7"/>
      <c r="AK88" s="196"/>
      <c r="AL88" s="195"/>
    </row>
    <row r="89" spans="1:38" s="64" customFormat="1" ht="38.25" customHeight="1" x14ac:dyDescent="2.1"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119">
        <v>0</v>
      </c>
      <c r="Y89" s="80"/>
      <c r="Z89" s="80"/>
      <c r="AA89" s="65"/>
      <c r="AB89" s="81"/>
      <c r="AC89" s="82"/>
      <c r="AD89" s="16">
        <f t="shared" ref="AD89:AD102" si="27">X89</f>
        <v>0</v>
      </c>
      <c r="AE89" s="17"/>
      <c r="AF89" s="2"/>
      <c r="AG89" s="2"/>
      <c r="AH89" s="2"/>
      <c r="AI89" s="2"/>
      <c r="AJ89" s="2"/>
      <c r="AK89" s="196"/>
      <c r="AL89" s="195"/>
    </row>
    <row r="90" spans="1:38" s="12" customFormat="1" ht="113.25" customHeight="1" x14ac:dyDescent="2.1">
      <c r="B90" s="13" t="s">
        <v>108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12">
        <v>0</v>
      </c>
      <c r="Y90" s="14">
        <f t="shared" ref="Y90:Y102" si="28">SUM(C90,E90,G90,I90,K90,,M90,O90,Q90,S90,U90,W90)</f>
        <v>0</v>
      </c>
      <c r="Z90" s="14">
        <f t="shared" ref="Z90:Z102" si="29">SUM(D90,F90,H90,J90,L90,,N90,P90,R90,T90,V90)</f>
        <v>0</v>
      </c>
      <c r="AA90" s="13" t="s">
        <v>108</v>
      </c>
      <c r="AB90" s="149"/>
      <c r="AC90" s="150"/>
      <c r="AD90" s="16">
        <f t="shared" si="27"/>
        <v>0</v>
      </c>
      <c r="AE90" s="17"/>
      <c r="AF90" s="2"/>
      <c r="AG90" s="2"/>
      <c r="AH90" s="2"/>
      <c r="AI90" s="2"/>
      <c r="AJ90" s="2"/>
      <c r="AK90" s="196"/>
      <c r="AL90" s="195"/>
    </row>
    <row r="91" spans="1:38" s="12" customFormat="1" ht="113.25" customHeight="1" x14ac:dyDescent="2.1">
      <c r="B91" s="13" t="s">
        <v>109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12">
        <v>0</v>
      </c>
      <c r="Y91" s="14">
        <f t="shared" si="28"/>
        <v>0</v>
      </c>
      <c r="Z91" s="14">
        <f t="shared" si="29"/>
        <v>0</v>
      </c>
      <c r="AA91" s="13" t="s">
        <v>109</v>
      </c>
      <c r="AB91" s="149"/>
      <c r="AC91" s="150"/>
      <c r="AD91" s="16">
        <f t="shared" si="27"/>
        <v>0</v>
      </c>
      <c r="AE91" s="17"/>
      <c r="AF91" s="2"/>
      <c r="AG91" s="2"/>
      <c r="AH91" s="2"/>
      <c r="AI91" s="2"/>
      <c r="AJ91" s="2"/>
      <c r="AK91" s="196"/>
      <c r="AL91" s="195"/>
    </row>
    <row r="92" spans="1:38" s="12" customFormat="1" ht="113.25" customHeight="1" thickBot="1" x14ac:dyDescent="2.15">
      <c r="B92" s="13" t="s">
        <v>110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12">
        <v>0</v>
      </c>
      <c r="Y92" s="14">
        <f t="shared" si="28"/>
        <v>0</v>
      </c>
      <c r="Z92" s="14">
        <f t="shared" si="29"/>
        <v>0</v>
      </c>
      <c r="AA92" s="13" t="s">
        <v>110</v>
      </c>
      <c r="AB92" s="149"/>
      <c r="AC92" s="150"/>
      <c r="AD92" s="16">
        <f t="shared" si="27"/>
        <v>0</v>
      </c>
      <c r="AE92" s="17"/>
      <c r="AF92" s="2"/>
      <c r="AG92" s="2"/>
      <c r="AH92" s="2"/>
      <c r="AI92" s="2"/>
      <c r="AJ92" s="2"/>
      <c r="AK92" s="196"/>
      <c r="AL92" s="195"/>
    </row>
    <row r="93" spans="1:38" s="12" customFormat="1" ht="146.25" x14ac:dyDescent="2.1">
      <c r="B93" s="13" t="s">
        <v>111</v>
      </c>
      <c r="C93" s="14">
        <v>0</v>
      </c>
      <c r="D93" s="14">
        <v>0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12">
        <v>0</v>
      </c>
      <c r="Y93" s="14">
        <f t="shared" si="28"/>
        <v>0</v>
      </c>
      <c r="Z93" s="14">
        <f t="shared" si="29"/>
        <v>0</v>
      </c>
      <c r="AA93" s="13" t="s">
        <v>111</v>
      </c>
      <c r="AB93" s="154">
        <f>SUM(Y93:Y102)</f>
        <v>0</v>
      </c>
      <c r="AC93" s="155"/>
      <c r="AD93" s="16">
        <f t="shared" si="27"/>
        <v>0</v>
      </c>
      <c r="AE93" s="17"/>
      <c r="AF93" s="160" t="s">
        <v>112</v>
      </c>
      <c r="AG93" s="161"/>
      <c r="AH93" s="161"/>
      <c r="AI93" s="161"/>
      <c r="AJ93" s="162"/>
      <c r="AK93" s="196"/>
      <c r="AL93" s="195"/>
    </row>
    <row r="94" spans="1:38" s="47" customFormat="1" ht="116.25" customHeight="1" x14ac:dyDescent="2.1">
      <c r="A94" s="12"/>
      <c r="B94" s="13" t="s">
        <v>113</v>
      </c>
      <c r="C94" s="14">
        <v>0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14">
        <v>0</v>
      </c>
      <c r="U94" s="14">
        <v>0</v>
      </c>
      <c r="V94" s="14">
        <v>0</v>
      </c>
      <c r="W94" s="14">
        <v>0</v>
      </c>
      <c r="X94" s="112">
        <v>0</v>
      </c>
      <c r="Y94" s="14">
        <f t="shared" si="28"/>
        <v>0</v>
      </c>
      <c r="Z94" s="14">
        <f t="shared" si="29"/>
        <v>0</v>
      </c>
      <c r="AA94" s="13" t="s">
        <v>113</v>
      </c>
      <c r="AB94" s="156"/>
      <c r="AC94" s="157"/>
      <c r="AD94" s="16">
        <f t="shared" si="27"/>
        <v>0</v>
      </c>
      <c r="AE94" s="17"/>
      <c r="AF94" s="163"/>
      <c r="AG94" s="164"/>
      <c r="AH94" s="164"/>
      <c r="AI94" s="164"/>
      <c r="AJ94" s="165"/>
      <c r="AK94" s="196"/>
      <c r="AL94" s="195"/>
    </row>
    <row r="95" spans="1:38" s="47" customFormat="1" ht="113.25" customHeight="1" x14ac:dyDescent="2.1">
      <c r="A95" s="12"/>
      <c r="B95" s="13" t="s">
        <v>114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12">
        <v>0</v>
      </c>
      <c r="Y95" s="14">
        <f t="shared" si="28"/>
        <v>0</v>
      </c>
      <c r="Z95" s="14">
        <f t="shared" si="29"/>
        <v>0</v>
      </c>
      <c r="AA95" s="13" t="s">
        <v>114</v>
      </c>
      <c r="AB95" s="156"/>
      <c r="AC95" s="157"/>
      <c r="AD95" s="16">
        <f t="shared" si="27"/>
        <v>0</v>
      </c>
      <c r="AE95" s="17"/>
      <c r="AF95" s="163"/>
      <c r="AG95" s="164"/>
      <c r="AH95" s="164"/>
      <c r="AI95" s="164"/>
      <c r="AJ95" s="165"/>
      <c r="AK95" s="196"/>
      <c r="AL95" s="195"/>
    </row>
    <row r="96" spans="1:38" s="47" customFormat="1" ht="113.25" customHeight="1" x14ac:dyDescent="2.1">
      <c r="A96" s="12"/>
      <c r="B96" s="13" t="s">
        <v>115</v>
      </c>
      <c r="C96" s="14">
        <v>0</v>
      </c>
      <c r="D96" s="14">
        <v>0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12">
        <v>0</v>
      </c>
      <c r="Y96" s="14">
        <f t="shared" si="28"/>
        <v>0</v>
      </c>
      <c r="Z96" s="14">
        <f t="shared" si="29"/>
        <v>0</v>
      </c>
      <c r="AA96" s="13" t="s">
        <v>115</v>
      </c>
      <c r="AB96" s="156"/>
      <c r="AC96" s="157"/>
      <c r="AD96" s="16">
        <f t="shared" si="27"/>
        <v>0</v>
      </c>
      <c r="AE96" s="17"/>
      <c r="AF96" s="163"/>
      <c r="AG96" s="164"/>
      <c r="AH96" s="164"/>
      <c r="AI96" s="164"/>
      <c r="AJ96" s="165"/>
      <c r="AK96" s="196"/>
      <c r="AL96" s="195"/>
    </row>
    <row r="97" spans="1:38" s="47" customFormat="1" ht="113.25" customHeight="1" x14ac:dyDescent="2.1">
      <c r="A97" s="12"/>
      <c r="B97" s="13" t="s">
        <v>116</v>
      </c>
      <c r="C97" s="14">
        <v>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12">
        <v>0</v>
      </c>
      <c r="Y97" s="14">
        <f t="shared" si="28"/>
        <v>0</v>
      </c>
      <c r="Z97" s="14">
        <f t="shared" si="29"/>
        <v>0</v>
      </c>
      <c r="AA97" s="13" t="s">
        <v>116</v>
      </c>
      <c r="AB97" s="156"/>
      <c r="AC97" s="157"/>
      <c r="AD97" s="16">
        <f t="shared" si="27"/>
        <v>0</v>
      </c>
      <c r="AE97" s="17"/>
      <c r="AF97" s="163"/>
      <c r="AG97" s="164"/>
      <c r="AH97" s="164"/>
      <c r="AI97" s="164"/>
      <c r="AJ97" s="165"/>
      <c r="AK97" s="196"/>
      <c r="AL97" s="195"/>
    </row>
    <row r="98" spans="1:38" s="47" customFormat="1" ht="113.25" customHeight="1" x14ac:dyDescent="2.1">
      <c r="A98" s="12"/>
      <c r="B98" s="13" t="s">
        <v>117</v>
      </c>
      <c r="C98" s="14">
        <v>0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12">
        <v>0</v>
      </c>
      <c r="Y98" s="14">
        <f t="shared" si="28"/>
        <v>0</v>
      </c>
      <c r="Z98" s="14">
        <f t="shared" si="29"/>
        <v>0</v>
      </c>
      <c r="AA98" s="13" t="s">
        <v>117</v>
      </c>
      <c r="AB98" s="156"/>
      <c r="AC98" s="157"/>
      <c r="AD98" s="16">
        <f t="shared" si="27"/>
        <v>0</v>
      </c>
      <c r="AE98" s="17"/>
      <c r="AF98" s="183">
        <f>SUM(AD93:AD102)</f>
        <v>0</v>
      </c>
      <c r="AG98" s="184"/>
      <c r="AH98" s="184"/>
      <c r="AI98" s="184"/>
      <c r="AJ98" s="185"/>
      <c r="AK98" s="196"/>
      <c r="AL98" s="195"/>
    </row>
    <row r="99" spans="1:38" s="47" customFormat="1" ht="113.25" customHeight="1" x14ac:dyDescent="2.1">
      <c r="A99" s="12"/>
      <c r="B99" s="13" t="s">
        <v>118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112">
        <v>0</v>
      </c>
      <c r="Y99" s="14">
        <f t="shared" si="28"/>
        <v>0</v>
      </c>
      <c r="Z99" s="14">
        <f t="shared" si="29"/>
        <v>0</v>
      </c>
      <c r="AA99" s="13" t="s">
        <v>118</v>
      </c>
      <c r="AB99" s="156"/>
      <c r="AC99" s="157"/>
      <c r="AD99" s="16">
        <f t="shared" si="27"/>
        <v>0</v>
      </c>
      <c r="AE99" s="17"/>
      <c r="AF99" s="39"/>
      <c r="AG99" s="24"/>
      <c r="AH99" s="24"/>
      <c r="AI99" s="24"/>
      <c r="AJ99" s="25"/>
      <c r="AK99" s="196"/>
      <c r="AL99" s="195"/>
    </row>
    <row r="100" spans="1:38" s="47" customFormat="1" ht="113.25" customHeight="1" x14ac:dyDescent="2.1">
      <c r="A100" s="12"/>
      <c r="B100" s="13" t="s">
        <v>119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12">
        <v>0</v>
      </c>
      <c r="Y100" s="14">
        <f t="shared" si="28"/>
        <v>0</v>
      </c>
      <c r="Z100" s="14">
        <f t="shared" si="29"/>
        <v>0</v>
      </c>
      <c r="AA100" s="13" t="s">
        <v>119</v>
      </c>
      <c r="AB100" s="156"/>
      <c r="AC100" s="157"/>
      <c r="AD100" s="16">
        <f t="shared" si="27"/>
        <v>0</v>
      </c>
      <c r="AE100" s="17"/>
      <c r="AF100" s="166"/>
      <c r="AG100" s="164"/>
      <c r="AH100" s="164"/>
      <c r="AI100" s="164"/>
      <c r="AJ100" s="165"/>
      <c r="AK100" s="196"/>
      <c r="AL100" s="195"/>
    </row>
    <row r="101" spans="1:38" s="47" customFormat="1" ht="113.25" customHeight="1" x14ac:dyDescent="2.1">
      <c r="A101" s="12"/>
      <c r="B101" s="13" t="s">
        <v>120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12">
        <v>0</v>
      </c>
      <c r="Y101" s="14">
        <f t="shared" si="28"/>
        <v>0</v>
      </c>
      <c r="Z101" s="14">
        <f t="shared" si="29"/>
        <v>0</v>
      </c>
      <c r="AA101" s="13" t="s">
        <v>120</v>
      </c>
      <c r="AB101" s="156"/>
      <c r="AC101" s="157"/>
      <c r="AD101" s="16">
        <f t="shared" si="27"/>
        <v>0</v>
      </c>
      <c r="AE101" s="17"/>
      <c r="AF101" s="26"/>
      <c r="AG101" s="27"/>
      <c r="AH101" s="27"/>
      <c r="AI101" s="27"/>
      <c r="AJ101" s="28"/>
      <c r="AK101" s="196"/>
      <c r="AL101" s="195"/>
    </row>
    <row r="102" spans="1:38" s="47" customFormat="1" ht="113.25" customHeight="1" thickBot="1" x14ac:dyDescent="2.15">
      <c r="A102" s="12"/>
      <c r="B102" s="13" t="s">
        <v>121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12">
        <v>0</v>
      </c>
      <c r="Y102" s="14">
        <f t="shared" si="28"/>
        <v>0</v>
      </c>
      <c r="Z102" s="14">
        <f t="shared" si="29"/>
        <v>0</v>
      </c>
      <c r="AA102" s="13" t="s">
        <v>121</v>
      </c>
      <c r="AB102" s="158"/>
      <c r="AC102" s="159"/>
      <c r="AD102" s="16">
        <f t="shared" si="27"/>
        <v>0</v>
      </c>
      <c r="AE102" s="17"/>
      <c r="AF102" s="83"/>
      <c r="AG102" s="84"/>
      <c r="AH102" s="84"/>
      <c r="AI102" s="84"/>
      <c r="AJ102" s="85"/>
      <c r="AK102" s="196"/>
      <c r="AL102" s="195"/>
    </row>
    <row r="103" spans="1:38" s="47" customFormat="1" ht="111" customHeight="1" x14ac:dyDescent="2.1">
      <c r="A103" s="12"/>
      <c r="B103" s="13"/>
      <c r="C103" s="30">
        <f>SUM(C93:C102)</f>
        <v>0</v>
      </c>
      <c r="D103" s="30">
        <f t="shared" ref="D103:W103" si="30">SUM(D93:D102)</f>
        <v>0</v>
      </c>
      <c r="E103" s="30">
        <f t="shared" si="30"/>
        <v>0</v>
      </c>
      <c r="F103" s="30">
        <f t="shared" si="30"/>
        <v>0</v>
      </c>
      <c r="G103" s="30">
        <f t="shared" si="30"/>
        <v>0</v>
      </c>
      <c r="H103" s="30">
        <f t="shared" si="30"/>
        <v>0</v>
      </c>
      <c r="I103" s="30">
        <f t="shared" si="30"/>
        <v>0</v>
      </c>
      <c r="J103" s="30">
        <f t="shared" si="30"/>
        <v>0</v>
      </c>
      <c r="K103" s="30">
        <f t="shared" si="30"/>
        <v>0</v>
      </c>
      <c r="L103" s="30">
        <f t="shared" si="30"/>
        <v>0</v>
      </c>
      <c r="M103" s="30">
        <f t="shared" si="30"/>
        <v>0</v>
      </c>
      <c r="N103" s="30">
        <f t="shared" si="30"/>
        <v>0</v>
      </c>
      <c r="O103" s="30">
        <f t="shared" si="30"/>
        <v>0</v>
      </c>
      <c r="P103" s="30">
        <f t="shared" si="30"/>
        <v>0</v>
      </c>
      <c r="Q103" s="30">
        <f t="shared" si="30"/>
        <v>0</v>
      </c>
      <c r="R103" s="30">
        <f t="shared" si="30"/>
        <v>0</v>
      </c>
      <c r="S103" s="30">
        <f t="shared" si="30"/>
        <v>0</v>
      </c>
      <c r="T103" s="30">
        <f t="shared" si="30"/>
        <v>0</v>
      </c>
      <c r="U103" s="30">
        <f t="shared" si="30"/>
        <v>0</v>
      </c>
      <c r="V103" s="30">
        <f t="shared" si="30"/>
        <v>0</v>
      </c>
      <c r="W103" s="30">
        <f t="shared" si="30"/>
        <v>0</v>
      </c>
      <c r="X103" s="113"/>
      <c r="Y103" s="14"/>
      <c r="Z103" s="14"/>
      <c r="AA103" s="13"/>
      <c r="AB103" s="186"/>
      <c r="AC103" s="187"/>
      <c r="AD103" s="33"/>
      <c r="AE103" s="17"/>
      <c r="AF103" s="188"/>
      <c r="AG103" s="189"/>
      <c r="AH103" s="189"/>
      <c r="AI103" s="189"/>
      <c r="AJ103" s="190"/>
      <c r="AK103" s="196"/>
      <c r="AL103" s="195"/>
    </row>
    <row r="104" spans="1:38" ht="126" customHeight="1" x14ac:dyDescent="0.25">
      <c r="B104" s="169" t="s">
        <v>0</v>
      </c>
      <c r="C104" s="170"/>
      <c r="D104" s="170"/>
      <c r="E104" s="170"/>
      <c r="F104" s="170"/>
      <c r="G104" s="170"/>
      <c r="H104" s="170"/>
      <c r="I104" s="170"/>
      <c r="J104" s="170"/>
      <c r="K104" s="170"/>
      <c r="L104" s="170"/>
      <c r="M104" s="170"/>
      <c r="N104" s="170"/>
      <c r="O104" s="170"/>
      <c r="P104" s="170"/>
      <c r="Q104" s="170"/>
      <c r="R104" s="170"/>
      <c r="S104" s="170"/>
      <c r="T104" s="170"/>
      <c r="U104" s="170"/>
      <c r="V104" s="170"/>
      <c r="W104" s="170"/>
      <c r="X104" s="170"/>
      <c r="Y104" s="170"/>
      <c r="Z104" s="170"/>
      <c r="AA104" s="170"/>
      <c r="AB104" s="170"/>
      <c r="AC104" s="170"/>
      <c r="AD104" s="170"/>
      <c r="AE104" s="1"/>
      <c r="AF104" s="191"/>
      <c r="AG104" s="192"/>
      <c r="AH104" s="192"/>
      <c r="AI104" s="192"/>
      <c r="AJ104" s="193"/>
      <c r="AK104" s="196"/>
      <c r="AL104" s="195"/>
    </row>
    <row r="105" spans="1:38" ht="123.75" customHeight="1" x14ac:dyDescent="2.1">
      <c r="B105" s="167" t="s">
        <v>122</v>
      </c>
      <c r="C105" s="135" t="s">
        <v>2</v>
      </c>
      <c r="D105" s="136"/>
      <c r="E105" s="135" t="s">
        <v>3</v>
      </c>
      <c r="F105" s="136"/>
      <c r="G105" s="135" t="s">
        <v>4</v>
      </c>
      <c r="H105" s="136"/>
      <c r="I105" s="135" t="s">
        <v>5</v>
      </c>
      <c r="J105" s="136"/>
      <c r="K105" s="135" t="s">
        <v>6</v>
      </c>
      <c r="L105" s="136"/>
      <c r="M105" s="135" t="s">
        <v>7</v>
      </c>
      <c r="N105" s="136"/>
      <c r="O105" s="135" t="s">
        <v>8</v>
      </c>
      <c r="P105" s="136"/>
      <c r="Q105" s="135" t="s">
        <v>9</v>
      </c>
      <c r="R105" s="136"/>
      <c r="S105" s="135" t="s">
        <v>10</v>
      </c>
      <c r="T105" s="136"/>
      <c r="U105" s="135" t="s">
        <v>11</v>
      </c>
      <c r="V105" s="136"/>
      <c r="W105" s="167" t="s">
        <v>12</v>
      </c>
      <c r="X105" s="110"/>
      <c r="Y105" s="167" t="s">
        <v>13</v>
      </c>
      <c r="Z105" s="167" t="s">
        <v>14</v>
      </c>
      <c r="AA105" s="167" t="s">
        <v>122</v>
      </c>
      <c r="AB105" s="139"/>
      <c r="AC105" s="140"/>
      <c r="AD105" s="6" t="s">
        <v>16</v>
      </c>
      <c r="AE105" s="7"/>
      <c r="AF105" s="191"/>
      <c r="AG105" s="192"/>
      <c r="AH105" s="192"/>
      <c r="AI105" s="192"/>
      <c r="AJ105" s="193"/>
      <c r="AK105" s="196"/>
      <c r="AL105" s="195"/>
    </row>
    <row r="106" spans="1:38" s="4" customFormat="1" ht="138" customHeight="1" x14ac:dyDescent="2.1">
      <c r="B106" s="168"/>
      <c r="C106" s="9" t="s">
        <v>17</v>
      </c>
      <c r="D106" s="9" t="s">
        <v>18</v>
      </c>
      <c r="E106" s="9" t="s">
        <v>17</v>
      </c>
      <c r="F106" s="9" t="s">
        <v>18</v>
      </c>
      <c r="G106" s="9" t="s">
        <v>17</v>
      </c>
      <c r="H106" s="9" t="s">
        <v>18</v>
      </c>
      <c r="I106" s="9" t="s">
        <v>17</v>
      </c>
      <c r="J106" s="9" t="s">
        <v>18</v>
      </c>
      <c r="K106" s="9" t="s">
        <v>17</v>
      </c>
      <c r="L106" s="9" t="s">
        <v>18</v>
      </c>
      <c r="M106" s="9" t="s">
        <v>17</v>
      </c>
      <c r="N106" s="9" t="s">
        <v>18</v>
      </c>
      <c r="O106" s="9" t="s">
        <v>17</v>
      </c>
      <c r="P106" s="9" t="s">
        <v>18</v>
      </c>
      <c r="Q106" s="9" t="s">
        <v>17</v>
      </c>
      <c r="R106" s="9" t="s">
        <v>18</v>
      </c>
      <c r="S106" s="9" t="s">
        <v>17</v>
      </c>
      <c r="T106" s="9" t="s">
        <v>18</v>
      </c>
      <c r="U106" s="9" t="s">
        <v>17</v>
      </c>
      <c r="V106" s="9" t="s">
        <v>18</v>
      </c>
      <c r="W106" s="168"/>
      <c r="X106" s="111"/>
      <c r="Y106" s="168"/>
      <c r="Z106" s="168"/>
      <c r="AA106" s="168"/>
      <c r="AB106" s="10"/>
      <c r="AC106" s="11"/>
      <c r="AD106" s="6"/>
      <c r="AE106" s="7"/>
      <c r="AF106" s="191"/>
      <c r="AG106" s="192"/>
      <c r="AH106" s="192"/>
      <c r="AI106" s="192"/>
      <c r="AJ106" s="193"/>
      <c r="AK106" s="196"/>
      <c r="AL106" s="195"/>
    </row>
    <row r="107" spans="1:38" s="47" customFormat="1" ht="111" customHeight="1" x14ac:dyDescent="2.1">
      <c r="A107" s="12"/>
      <c r="B107" s="13" t="s">
        <v>123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12">
        <v>0</v>
      </c>
      <c r="Y107" s="14">
        <f>SUM(C107,E107,G107,I107,K107,,M107,O107,Q107,S107,U107,W107)</f>
        <v>0</v>
      </c>
      <c r="Z107" s="14">
        <f>SUM(D107,F107,H107,J107,L107,,N107,P107,R107,T107,V107)</f>
        <v>0</v>
      </c>
      <c r="AA107" s="13" t="s">
        <v>123</v>
      </c>
      <c r="AB107" s="154">
        <f>SUM(Y107:Y110)</f>
        <v>0</v>
      </c>
      <c r="AC107" s="155"/>
      <c r="AD107" s="16">
        <f>X107</f>
        <v>0</v>
      </c>
      <c r="AE107" s="17"/>
      <c r="AF107" s="191"/>
      <c r="AG107" s="192"/>
      <c r="AH107" s="192"/>
      <c r="AI107" s="192"/>
      <c r="AJ107" s="193"/>
      <c r="AK107" s="196"/>
      <c r="AL107" s="195"/>
    </row>
    <row r="108" spans="1:38" s="47" customFormat="1" ht="111" customHeight="1" x14ac:dyDescent="2.1">
      <c r="A108" s="12"/>
      <c r="B108" s="13" t="s">
        <v>124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12">
        <v>0</v>
      </c>
      <c r="Y108" s="14">
        <f>SUM(C108,E108,G108,I108,K108,,M108,O108,Q108,S108,U108,W108)</f>
        <v>0</v>
      </c>
      <c r="Z108" s="14">
        <f>SUM(D108,F108,H108,J108,L108,,N108,P108,R108,T108,V108)</f>
        <v>0</v>
      </c>
      <c r="AA108" s="13" t="s">
        <v>124</v>
      </c>
      <c r="AB108" s="156"/>
      <c r="AC108" s="157"/>
      <c r="AD108" s="16">
        <f t="shared" ref="AD108:AD136" si="31">X108</f>
        <v>0</v>
      </c>
      <c r="AE108" s="17"/>
      <c r="AF108" s="39"/>
      <c r="AG108" s="24"/>
      <c r="AH108" s="24"/>
      <c r="AI108" s="24"/>
      <c r="AJ108" s="25"/>
      <c r="AK108" s="196"/>
      <c r="AL108" s="195"/>
    </row>
    <row r="109" spans="1:38" s="47" customFormat="1" ht="111" customHeight="1" x14ac:dyDescent="2.1">
      <c r="A109" s="12"/>
      <c r="B109" s="13" t="s">
        <v>125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12">
        <v>0</v>
      </c>
      <c r="Y109" s="14">
        <f>SUM(C109,E109,G109,I109,K109,,M109,O109,Q109,S109,U109,W109)</f>
        <v>0</v>
      </c>
      <c r="Z109" s="14">
        <f>SUM(D109,F109,H109,J109,L109,,N109,P109,R109,T109,V109)</f>
        <v>0</v>
      </c>
      <c r="AA109" s="13" t="s">
        <v>125</v>
      </c>
      <c r="AB109" s="156"/>
      <c r="AC109" s="157"/>
      <c r="AD109" s="16">
        <f t="shared" si="31"/>
        <v>0</v>
      </c>
      <c r="AE109" s="17"/>
      <c r="AF109" s="39"/>
      <c r="AG109" s="24"/>
      <c r="AH109" s="24"/>
      <c r="AI109" s="24"/>
      <c r="AJ109" s="25"/>
      <c r="AK109" s="196"/>
      <c r="AL109" s="195"/>
    </row>
    <row r="110" spans="1:38" s="47" customFormat="1" ht="111" customHeight="1" x14ac:dyDescent="2.1">
      <c r="A110" s="12"/>
      <c r="B110" s="13" t="s">
        <v>126</v>
      </c>
      <c r="C110" s="14">
        <v>0</v>
      </c>
      <c r="D110" s="14">
        <v>0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0</v>
      </c>
      <c r="U110" s="14">
        <v>0</v>
      </c>
      <c r="V110" s="14">
        <v>0</v>
      </c>
      <c r="W110" s="14">
        <v>0</v>
      </c>
      <c r="X110" s="112">
        <v>0</v>
      </c>
      <c r="Y110" s="14">
        <f>SUM(C110,E110,G110,I110,K110,,M110,O110,Q110,S110,U110,W110)</f>
        <v>0</v>
      </c>
      <c r="Z110" s="14">
        <f>SUM(D110,F110,H110,J110,L110,,N110,P110,R110,T110,V110)</f>
        <v>0</v>
      </c>
      <c r="AA110" s="13" t="s">
        <v>126</v>
      </c>
      <c r="AB110" s="156"/>
      <c r="AC110" s="157"/>
      <c r="AD110" s="16">
        <f t="shared" si="31"/>
        <v>0</v>
      </c>
      <c r="AE110" s="17"/>
      <c r="AF110" s="39"/>
      <c r="AG110" s="24"/>
      <c r="AH110" s="24"/>
      <c r="AI110" s="24"/>
      <c r="AJ110" s="25"/>
      <c r="AK110" s="196"/>
      <c r="AL110" s="195"/>
    </row>
    <row r="111" spans="1:38" s="47" customFormat="1" ht="111" customHeight="1" thickBot="1" x14ac:dyDescent="2.15">
      <c r="A111" s="12"/>
      <c r="B111" s="13"/>
      <c r="C111" s="30">
        <f>SUM(C107:C110)</f>
        <v>0</v>
      </c>
      <c r="D111" s="30">
        <f t="shared" ref="D111:W111" si="32">SUM(D107:D110)</f>
        <v>0</v>
      </c>
      <c r="E111" s="30">
        <f t="shared" si="32"/>
        <v>0</v>
      </c>
      <c r="F111" s="30">
        <f t="shared" si="32"/>
        <v>0</v>
      </c>
      <c r="G111" s="30">
        <f t="shared" si="32"/>
        <v>0</v>
      </c>
      <c r="H111" s="30">
        <f t="shared" si="32"/>
        <v>0</v>
      </c>
      <c r="I111" s="30">
        <f t="shared" si="32"/>
        <v>0</v>
      </c>
      <c r="J111" s="30">
        <f t="shared" si="32"/>
        <v>0</v>
      </c>
      <c r="K111" s="30">
        <f t="shared" si="32"/>
        <v>0</v>
      </c>
      <c r="L111" s="30">
        <f t="shared" si="32"/>
        <v>0</v>
      </c>
      <c r="M111" s="30">
        <f t="shared" si="32"/>
        <v>0</v>
      </c>
      <c r="N111" s="30">
        <f t="shared" si="32"/>
        <v>0</v>
      </c>
      <c r="O111" s="30">
        <f t="shared" si="32"/>
        <v>0</v>
      </c>
      <c r="P111" s="30">
        <f t="shared" si="32"/>
        <v>0</v>
      </c>
      <c r="Q111" s="30">
        <f t="shared" si="32"/>
        <v>0</v>
      </c>
      <c r="R111" s="30">
        <f t="shared" si="32"/>
        <v>0</v>
      </c>
      <c r="S111" s="30">
        <f t="shared" si="32"/>
        <v>0</v>
      </c>
      <c r="T111" s="30">
        <f t="shared" si="32"/>
        <v>0</v>
      </c>
      <c r="U111" s="30">
        <f t="shared" si="32"/>
        <v>0</v>
      </c>
      <c r="V111" s="30">
        <f t="shared" si="32"/>
        <v>0</v>
      </c>
      <c r="W111" s="30">
        <f t="shared" si="32"/>
        <v>0</v>
      </c>
      <c r="X111" s="113"/>
      <c r="Y111" s="14"/>
      <c r="Z111" s="14"/>
      <c r="AA111" s="13"/>
      <c r="AB111" s="158"/>
      <c r="AC111" s="159"/>
      <c r="AD111" s="16">
        <f t="shared" si="31"/>
        <v>0</v>
      </c>
      <c r="AE111" s="17"/>
      <c r="AF111" s="178"/>
      <c r="AG111" s="179"/>
      <c r="AH111" s="179"/>
      <c r="AI111" s="179"/>
      <c r="AJ111" s="180"/>
      <c r="AK111" s="196"/>
      <c r="AL111" s="195"/>
    </row>
    <row r="112" spans="1:38" s="12" customFormat="1" ht="113.25" customHeight="1" x14ac:dyDescent="2.1">
      <c r="B112" s="13" t="s">
        <v>127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  <c r="U112" s="14">
        <v>0</v>
      </c>
      <c r="V112" s="14">
        <v>0</v>
      </c>
      <c r="W112" s="14">
        <v>0</v>
      </c>
      <c r="X112" s="112">
        <v>0</v>
      </c>
      <c r="Y112" s="14">
        <f t="shared" ref="Y112:Y124" si="33">SUM(C112,E112,G112,I112,K112,,M112,O112,Q112,S112,U112,W112)</f>
        <v>0</v>
      </c>
      <c r="Z112" s="14">
        <f t="shared" ref="Z112:Z124" si="34">SUM(D112,F112,H112,J112,L112,,N112,P112,R112,T112,V112)</f>
        <v>0</v>
      </c>
      <c r="AA112" s="13" t="s">
        <v>127</v>
      </c>
      <c r="AB112" s="154">
        <f>SUM(Y112:Y124)</f>
        <v>0</v>
      </c>
      <c r="AC112" s="155"/>
      <c r="AD112" s="16">
        <f t="shared" si="31"/>
        <v>0</v>
      </c>
      <c r="AE112" s="17"/>
      <c r="AF112" s="160" t="s">
        <v>128</v>
      </c>
      <c r="AG112" s="161"/>
      <c r="AH112" s="161"/>
      <c r="AI112" s="161"/>
      <c r="AJ112" s="162"/>
      <c r="AK112" s="196"/>
      <c r="AL112" s="195"/>
    </row>
    <row r="113" spans="1:38" s="12" customFormat="1" ht="113.25" customHeight="1" x14ac:dyDescent="2.1">
      <c r="B113" s="13" t="s">
        <v>129</v>
      </c>
      <c r="C113" s="14">
        <v>0</v>
      </c>
      <c r="D113" s="14">
        <v>0</v>
      </c>
      <c r="E113" s="14">
        <v>0</v>
      </c>
      <c r="F113" s="14">
        <v>0</v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12">
        <v>0</v>
      </c>
      <c r="Y113" s="14">
        <f t="shared" si="33"/>
        <v>0</v>
      </c>
      <c r="Z113" s="14">
        <f t="shared" si="34"/>
        <v>0</v>
      </c>
      <c r="AA113" s="13" t="s">
        <v>129</v>
      </c>
      <c r="AB113" s="156"/>
      <c r="AC113" s="157"/>
      <c r="AD113" s="16">
        <f t="shared" si="31"/>
        <v>0</v>
      </c>
      <c r="AE113" s="17"/>
      <c r="AF113" s="163"/>
      <c r="AG113" s="164"/>
      <c r="AH113" s="164"/>
      <c r="AI113" s="164"/>
      <c r="AJ113" s="165"/>
      <c r="AK113" s="181" t="s">
        <v>130</v>
      </c>
      <c r="AL113" s="182"/>
    </row>
    <row r="114" spans="1:38" s="12" customFormat="1" ht="113.25" customHeight="1" x14ac:dyDescent="2.1">
      <c r="B114" s="13" t="s">
        <v>131</v>
      </c>
      <c r="C114" s="14">
        <v>0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12">
        <v>0</v>
      </c>
      <c r="Y114" s="14">
        <f t="shared" si="33"/>
        <v>0</v>
      </c>
      <c r="Z114" s="14">
        <f t="shared" si="34"/>
        <v>0</v>
      </c>
      <c r="AA114" s="13" t="s">
        <v>131</v>
      </c>
      <c r="AB114" s="156"/>
      <c r="AC114" s="157"/>
      <c r="AD114" s="16">
        <f t="shared" si="31"/>
        <v>0</v>
      </c>
      <c r="AE114" s="17"/>
      <c r="AF114" s="163"/>
      <c r="AG114" s="164"/>
      <c r="AH114" s="164"/>
      <c r="AI114" s="164"/>
      <c r="AJ114" s="165"/>
      <c r="AK114" s="181"/>
      <c r="AL114" s="182"/>
    </row>
    <row r="115" spans="1:38" s="12" customFormat="1" ht="113.25" customHeight="1" x14ac:dyDescent="2.1">
      <c r="B115" s="13" t="s">
        <v>132</v>
      </c>
      <c r="C115" s="14">
        <v>0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12">
        <v>0</v>
      </c>
      <c r="Y115" s="14">
        <f t="shared" si="33"/>
        <v>0</v>
      </c>
      <c r="Z115" s="14">
        <f t="shared" si="34"/>
        <v>0</v>
      </c>
      <c r="AA115" s="13" t="s">
        <v>132</v>
      </c>
      <c r="AB115" s="156"/>
      <c r="AC115" s="157"/>
      <c r="AD115" s="16">
        <f t="shared" si="31"/>
        <v>0</v>
      </c>
      <c r="AE115" s="17"/>
      <c r="AF115" s="163"/>
      <c r="AG115" s="164"/>
      <c r="AH115" s="164"/>
      <c r="AI115" s="164"/>
      <c r="AJ115" s="165"/>
      <c r="AK115" s="181"/>
      <c r="AL115" s="182"/>
    </row>
    <row r="116" spans="1:38" s="12" customFormat="1" ht="113.25" customHeight="1" x14ac:dyDescent="2.1">
      <c r="B116" s="13" t="s">
        <v>133</v>
      </c>
      <c r="C116" s="14">
        <v>0</v>
      </c>
      <c r="D116" s="14">
        <v>0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12">
        <v>0</v>
      </c>
      <c r="Y116" s="14">
        <f t="shared" si="33"/>
        <v>0</v>
      </c>
      <c r="Z116" s="14">
        <f t="shared" si="34"/>
        <v>0</v>
      </c>
      <c r="AA116" s="13" t="s">
        <v>133</v>
      </c>
      <c r="AB116" s="156"/>
      <c r="AC116" s="157"/>
      <c r="AD116" s="16">
        <f t="shared" si="31"/>
        <v>0</v>
      </c>
      <c r="AE116" s="17"/>
      <c r="AF116" s="163"/>
      <c r="AG116" s="164"/>
      <c r="AH116" s="164"/>
      <c r="AI116" s="164"/>
      <c r="AJ116" s="165"/>
      <c r="AK116" s="181"/>
      <c r="AL116" s="182"/>
    </row>
    <row r="117" spans="1:38" s="12" customFormat="1" ht="113.25" customHeight="1" x14ac:dyDescent="2.1">
      <c r="B117" s="13" t="s">
        <v>134</v>
      </c>
      <c r="C117" s="14">
        <v>0</v>
      </c>
      <c r="D117" s="14">
        <v>0</v>
      </c>
      <c r="E117" s="14">
        <v>0</v>
      </c>
      <c r="F117" s="14">
        <v>0</v>
      </c>
      <c r="G117" s="14">
        <v>0</v>
      </c>
      <c r="H117" s="14">
        <v>0</v>
      </c>
      <c r="I117" s="14">
        <v>0</v>
      </c>
      <c r="J117" s="14">
        <v>0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12">
        <v>0</v>
      </c>
      <c r="Y117" s="14">
        <f t="shared" si="33"/>
        <v>0</v>
      </c>
      <c r="Z117" s="14">
        <f t="shared" si="34"/>
        <v>0</v>
      </c>
      <c r="AA117" s="13" t="s">
        <v>134</v>
      </c>
      <c r="AB117" s="156"/>
      <c r="AC117" s="157"/>
      <c r="AD117" s="16">
        <f t="shared" si="31"/>
        <v>0</v>
      </c>
      <c r="AE117" s="17"/>
      <c r="AF117" s="163"/>
      <c r="AG117" s="164"/>
      <c r="AH117" s="164"/>
      <c r="AI117" s="164"/>
      <c r="AJ117" s="165"/>
      <c r="AK117" s="181"/>
      <c r="AL117" s="182"/>
    </row>
    <row r="118" spans="1:38" s="47" customFormat="1" ht="113.25" customHeight="1" x14ac:dyDescent="2.1">
      <c r="A118" s="12"/>
      <c r="B118" s="13" t="s">
        <v>135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12">
        <v>0</v>
      </c>
      <c r="Y118" s="14">
        <f t="shared" si="33"/>
        <v>0</v>
      </c>
      <c r="Z118" s="14">
        <f t="shared" si="34"/>
        <v>0</v>
      </c>
      <c r="AA118" s="13" t="s">
        <v>135</v>
      </c>
      <c r="AB118" s="156"/>
      <c r="AC118" s="157"/>
      <c r="AD118" s="16">
        <f t="shared" si="31"/>
        <v>0</v>
      </c>
      <c r="AE118" s="17"/>
      <c r="AF118" s="166">
        <f>SUM(AD112:AD124)</f>
        <v>0</v>
      </c>
      <c r="AG118" s="164"/>
      <c r="AH118" s="164"/>
      <c r="AI118" s="164"/>
      <c r="AJ118" s="165"/>
      <c r="AK118" s="181"/>
      <c r="AL118" s="182"/>
    </row>
    <row r="119" spans="1:38" s="47" customFormat="1" ht="120.75" customHeight="1" x14ac:dyDescent="2.1">
      <c r="A119" s="12"/>
      <c r="B119" s="13" t="s">
        <v>136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12">
        <v>0</v>
      </c>
      <c r="Y119" s="14">
        <f t="shared" si="33"/>
        <v>0</v>
      </c>
      <c r="Z119" s="14">
        <f t="shared" si="34"/>
        <v>0</v>
      </c>
      <c r="AA119" s="13" t="s">
        <v>136</v>
      </c>
      <c r="AB119" s="156"/>
      <c r="AC119" s="157"/>
      <c r="AD119" s="16">
        <f t="shared" si="31"/>
        <v>0</v>
      </c>
      <c r="AE119" s="17"/>
      <c r="AF119" s="166"/>
      <c r="AG119" s="164"/>
      <c r="AH119" s="164"/>
      <c r="AI119" s="164"/>
      <c r="AJ119" s="165"/>
      <c r="AK119" s="181"/>
      <c r="AL119" s="182"/>
    </row>
    <row r="120" spans="1:38" s="12" customFormat="1" ht="113.25" customHeight="1" x14ac:dyDescent="2.1">
      <c r="B120" s="13" t="s">
        <v>137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12">
        <v>0</v>
      </c>
      <c r="Y120" s="14">
        <f t="shared" si="33"/>
        <v>0</v>
      </c>
      <c r="Z120" s="14">
        <f t="shared" si="34"/>
        <v>0</v>
      </c>
      <c r="AA120" s="13" t="s">
        <v>137</v>
      </c>
      <c r="AB120" s="156"/>
      <c r="AC120" s="157"/>
      <c r="AD120" s="16">
        <f t="shared" si="31"/>
        <v>0</v>
      </c>
      <c r="AE120" s="17"/>
      <c r="AF120" s="26"/>
      <c r="AG120" s="27"/>
      <c r="AH120" s="27"/>
      <c r="AI120" s="27"/>
      <c r="AJ120" s="28"/>
      <c r="AK120" s="181"/>
      <c r="AL120" s="182"/>
    </row>
    <row r="121" spans="1:38" s="12" customFormat="1" ht="113.25" customHeight="1" x14ac:dyDescent="2.1">
      <c r="B121" s="13" t="s">
        <v>138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12">
        <v>0</v>
      </c>
      <c r="Y121" s="14">
        <f t="shared" si="33"/>
        <v>0</v>
      </c>
      <c r="Z121" s="14">
        <f t="shared" si="34"/>
        <v>0</v>
      </c>
      <c r="AA121" s="13" t="s">
        <v>138</v>
      </c>
      <c r="AB121" s="156"/>
      <c r="AC121" s="157"/>
      <c r="AD121" s="16">
        <f t="shared" si="31"/>
        <v>0</v>
      </c>
      <c r="AE121" s="17"/>
      <c r="AF121" s="26"/>
      <c r="AG121" s="27"/>
      <c r="AH121" s="27"/>
      <c r="AI121" s="27"/>
      <c r="AJ121" s="28"/>
      <c r="AK121" s="181"/>
      <c r="AL121" s="182"/>
    </row>
    <row r="122" spans="1:38" s="12" customFormat="1" ht="113.25" customHeight="1" x14ac:dyDescent="2.1">
      <c r="B122" s="13" t="s">
        <v>139</v>
      </c>
      <c r="C122" s="14">
        <v>0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0</v>
      </c>
      <c r="T122" s="14">
        <v>0</v>
      </c>
      <c r="U122" s="14">
        <v>0</v>
      </c>
      <c r="V122" s="14">
        <v>0</v>
      </c>
      <c r="W122" s="14">
        <v>0</v>
      </c>
      <c r="X122" s="112">
        <v>0</v>
      </c>
      <c r="Y122" s="14">
        <f t="shared" si="33"/>
        <v>0</v>
      </c>
      <c r="Z122" s="14">
        <f t="shared" si="34"/>
        <v>0</v>
      </c>
      <c r="AA122" s="13" t="s">
        <v>139</v>
      </c>
      <c r="AB122" s="156"/>
      <c r="AC122" s="157"/>
      <c r="AD122" s="16">
        <f t="shared" si="31"/>
        <v>0</v>
      </c>
      <c r="AE122" s="17"/>
      <c r="AF122" s="26"/>
      <c r="AG122" s="27"/>
      <c r="AH122" s="27"/>
      <c r="AI122" s="27"/>
      <c r="AJ122" s="28"/>
      <c r="AK122" s="181"/>
      <c r="AL122" s="182"/>
    </row>
    <row r="123" spans="1:38" s="12" customFormat="1" ht="113.25" customHeight="1" thickBot="1" x14ac:dyDescent="2.15">
      <c r="B123" s="13" t="s">
        <v>140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12">
        <v>0</v>
      </c>
      <c r="Y123" s="14">
        <f t="shared" si="33"/>
        <v>0</v>
      </c>
      <c r="Z123" s="14">
        <f t="shared" si="34"/>
        <v>0</v>
      </c>
      <c r="AA123" s="13" t="s">
        <v>140</v>
      </c>
      <c r="AB123" s="156"/>
      <c r="AC123" s="157"/>
      <c r="AD123" s="16">
        <f t="shared" si="31"/>
        <v>0</v>
      </c>
      <c r="AE123" s="17"/>
      <c r="AF123" s="83"/>
      <c r="AG123" s="84"/>
      <c r="AH123" s="84"/>
      <c r="AI123" s="84"/>
      <c r="AJ123" s="85"/>
      <c r="AK123" s="181"/>
      <c r="AL123" s="182"/>
    </row>
    <row r="124" spans="1:38" s="12" customFormat="1" ht="113.25" customHeight="1" thickBot="1" x14ac:dyDescent="2.15">
      <c r="B124" s="13" t="s">
        <v>141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12">
        <v>0</v>
      </c>
      <c r="Y124" s="14">
        <f t="shared" si="33"/>
        <v>0</v>
      </c>
      <c r="Z124" s="14">
        <f t="shared" si="34"/>
        <v>0</v>
      </c>
      <c r="AA124" s="13" t="s">
        <v>141</v>
      </c>
      <c r="AB124" s="156"/>
      <c r="AC124" s="157"/>
      <c r="AD124" s="16">
        <f t="shared" si="31"/>
        <v>0</v>
      </c>
      <c r="AE124" s="17"/>
      <c r="AF124" s="83"/>
      <c r="AG124" s="84"/>
      <c r="AH124" s="84"/>
      <c r="AI124" s="84"/>
      <c r="AJ124" s="85"/>
      <c r="AK124" s="181"/>
      <c r="AL124" s="182"/>
    </row>
    <row r="125" spans="1:38" s="12" customFormat="1" ht="113.25" customHeight="1" thickBot="1" x14ac:dyDescent="2.15">
      <c r="B125" s="13"/>
      <c r="C125" s="30">
        <f>SUM(C112:C124)</f>
        <v>0</v>
      </c>
      <c r="D125" s="30">
        <f t="shared" ref="D125:W125" si="35">SUM(D112:D124)</f>
        <v>0</v>
      </c>
      <c r="E125" s="30">
        <f t="shared" si="35"/>
        <v>0</v>
      </c>
      <c r="F125" s="30">
        <f t="shared" si="35"/>
        <v>0</v>
      </c>
      <c r="G125" s="30">
        <f t="shared" si="35"/>
        <v>0</v>
      </c>
      <c r="H125" s="30">
        <f t="shared" si="35"/>
        <v>0</v>
      </c>
      <c r="I125" s="30">
        <f t="shared" si="35"/>
        <v>0</v>
      </c>
      <c r="J125" s="30">
        <f t="shared" si="35"/>
        <v>0</v>
      </c>
      <c r="K125" s="30">
        <f t="shared" si="35"/>
        <v>0</v>
      </c>
      <c r="L125" s="30">
        <f t="shared" si="35"/>
        <v>0</v>
      </c>
      <c r="M125" s="30">
        <f t="shared" si="35"/>
        <v>0</v>
      </c>
      <c r="N125" s="30">
        <f t="shared" si="35"/>
        <v>0</v>
      </c>
      <c r="O125" s="30">
        <f t="shared" si="35"/>
        <v>0</v>
      </c>
      <c r="P125" s="30">
        <f t="shared" si="35"/>
        <v>0</v>
      </c>
      <c r="Q125" s="30">
        <f t="shared" si="35"/>
        <v>0</v>
      </c>
      <c r="R125" s="30">
        <f t="shared" si="35"/>
        <v>0</v>
      </c>
      <c r="S125" s="30">
        <f t="shared" si="35"/>
        <v>0</v>
      </c>
      <c r="T125" s="30">
        <f t="shared" si="35"/>
        <v>0</v>
      </c>
      <c r="U125" s="30">
        <f t="shared" si="35"/>
        <v>0</v>
      </c>
      <c r="V125" s="30">
        <f t="shared" si="35"/>
        <v>0</v>
      </c>
      <c r="W125" s="30">
        <f t="shared" si="35"/>
        <v>0</v>
      </c>
      <c r="X125" s="113">
        <v>0</v>
      </c>
      <c r="Y125" s="14"/>
      <c r="Z125" s="14"/>
      <c r="AA125" s="13"/>
      <c r="AB125" s="158"/>
      <c r="AC125" s="159"/>
      <c r="AD125" s="16">
        <f t="shared" si="31"/>
        <v>0</v>
      </c>
      <c r="AE125" s="17"/>
      <c r="AF125" s="39"/>
      <c r="AG125" s="24"/>
      <c r="AH125" s="24"/>
      <c r="AI125" s="24"/>
      <c r="AJ125" s="25"/>
      <c r="AK125" s="181"/>
      <c r="AL125" s="182"/>
    </row>
    <row r="126" spans="1:38" s="12" customFormat="1" ht="113.25" customHeight="1" x14ac:dyDescent="2.1">
      <c r="B126" s="13" t="s">
        <v>142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12">
        <v>0</v>
      </c>
      <c r="Y126" s="14">
        <f t="shared" ref="Y126:Y135" si="36">SUM(C126,E126,G126,I126,K126,,M126,O126,Q126,S126,U126,W126)</f>
        <v>0</v>
      </c>
      <c r="Z126" s="14">
        <f t="shared" ref="Z126:Z135" si="37">SUM(D126,F126,H126,J126,L126,,N126,P126,R126,T126,V126)</f>
        <v>0</v>
      </c>
      <c r="AA126" s="13" t="s">
        <v>142</v>
      </c>
      <c r="AB126" s="154">
        <f>SUM(Y126:Y135)</f>
        <v>0</v>
      </c>
      <c r="AC126" s="155"/>
      <c r="AD126" s="16">
        <f t="shared" si="31"/>
        <v>0</v>
      </c>
      <c r="AE126" s="17"/>
      <c r="AF126" s="160" t="s">
        <v>143</v>
      </c>
      <c r="AG126" s="161"/>
      <c r="AH126" s="161"/>
      <c r="AI126" s="161"/>
      <c r="AJ126" s="162"/>
      <c r="AK126" s="181"/>
      <c r="AL126" s="182"/>
    </row>
    <row r="127" spans="1:38" s="12" customFormat="1" ht="113.25" customHeight="1" x14ac:dyDescent="2.1">
      <c r="B127" s="13" t="s">
        <v>144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  <c r="T127" s="14">
        <v>0</v>
      </c>
      <c r="U127" s="14">
        <v>0</v>
      </c>
      <c r="V127" s="14">
        <v>0</v>
      </c>
      <c r="W127" s="14">
        <v>0</v>
      </c>
      <c r="X127" s="112">
        <v>0</v>
      </c>
      <c r="Y127" s="14">
        <f t="shared" si="36"/>
        <v>0</v>
      </c>
      <c r="Z127" s="14">
        <f t="shared" si="37"/>
        <v>0</v>
      </c>
      <c r="AA127" s="13" t="s">
        <v>144</v>
      </c>
      <c r="AB127" s="156"/>
      <c r="AC127" s="157"/>
      <c r="AD127" s="16">
        <f t="shared" si="31"/>
        <v>0</v>
      </c>
      <c r="AE127" s="17"/>
      <c r="AF127" s="163"/>
      <c r="AG127" s="164"/>
      <c r="AH127" s="164"/>
      <c r="AI127" s="164"/>
      <c r="AJ127" s="165"/>
      <c r="AK127" s="181"/>
      <c r="AL127" s="182"/>
    </row>
    <row r="128" spans="1:38" s="12" customFormat="1" ht="113.25" customHeight="1" x14ac:dyDescent="2.1">
      <c r="B128" s="13" t="s">
        <v>145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12">
        <v>0</v>
      </c>
      <c r="Y128" s="14">
        <f t="shared" si="36"/>
        <v>0</v>
      </c>
      <c r="Z128" s="14">
        <f t="shared" si="37"/>
        <v>0</v>
      </c>
      <c r="AA128" s="13" t="s">
        <v>145</v>
      </c>
      <c r="AB128" s="156"/>
      <c r="AC128" s="157"/>
      <c r="AD128" s="16">
        <f t="shared" si="31"/>
        <v>0</v>
      </c>
      <c r="AE128" s="17"/>
      <c r="AF128" s="39"/>
      <c r="AG128" s="24"/>
      <c r="AH128" s="24"/>
      <c r="AI128" s="24"/>
      <c r="AJ128" s="25"/>
      <c r="AK128" s="181"/>
      <c r="AL128" s="182"/>
    </row>
    <row r="129" spans="1:40" s="12" customFormat="1" ht="113.25" customHeight="1" x14ac:dyDescent="2.1">
      <c r="B129" s="13" t="s">
        <v>146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12">
        <v>0</v>
      </c>
      <c r="Y129" s="14">
        <f t="shared" si="36"/>
        <v>0</v>
      </c>
      <c r="Z129" s="14">
        <f t="shared" si="37"/>
        <v>0</v>
      </c>
      <c r="AA129" s="13" t="s">
        <v>146</v>
      </c>
      <c r="AB129" s="156"/>
      <c r="AC129" s="157"/>
      <c r="AD129" s="16">
        <f t="shared" si="31"/>
        <v>0</v>
      </c>
      <c r="AE129" s="17"/>
      <c r="AF129" s="166">
        <f>SUM(AD126:AD135)</f>
        <v>0</v>
      </c>
      <c r="AG129" s="164"/>
      <c r="AH129" s="164"/>
      <c r="AI129" s="164"/>
      <c r="AJ129" s="165"/>
      <c r="AK129" s="181"/>
      <c r="AL129" s="182"/>
    </row>
    <row r="130" spans="1:40" s="12" customFormat="1" ht="113.25" customHeight="1" x14ac:dyDescent="2.1">
      <c r="B130" s="13" t="s">
        <v>147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12">
        <v>0</v>
      </c>
      <c r="Y130" s="14">
        <f t="shared" si="36"/>
        <v>0</v>
      </c>
      <c r="Z130" s="14">
        <f t="shared" si="37"/>
        <v>0</v>
      </c>
      <c r="AA130" s="13" t="s">
        <v>147</v>
      </c>
      <c r="AB130" s="156"/>
      <c r="AC130" s="157"/>
      <c r="AD130" s="16">
        <f t="shared" si="31"/>
        <v>0</v>
      </c>
      <c r="AE130" s="17"/>
      <c r="AF130" s="23"/>
      <c r="AG130" s="24"/>
      <c r="AH130" s="24"/>
      <c r="AI130" s="24"/>
      <c r="AJ130" s="25"/>
      <c r="AK130" s="181"/>
      <c r="AL130" s="182"/>
    </row>
    <row r="131" spans="1:40" s="12" customFormat="1" ht="113.25" customHeight="1" x14ac:dyDescent="2.1">
      <c r="B131" s="13" t="s">
        <v>148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  <c r="T131" s="14">
        <v>0</v>
      </c>
      <c r="U131" s="14">
        <v>0</v>
      </c>
      <c r="V131" s="14">
        <v>0</v>
      </c>
      <c r="W131" s="14">
        <v>0</v>
      </c>
      <c r="X131" s="112">
        <v>0</v>
      </c>
      <c r="Y131" s="14">
        <f t="shared" si="36"/>
        <v>0</v>
      </c>
      <c r="Z131" s="14">
        <f t="shared" si="37"/>
        <v>0</v>
      </c>
      <c r="AA131" s="13" t="s">
        <v>148</v>
      </c>
      <c r="AB131" s="156"/>
      <c r="AC131" s="157"/>
      <c r="AD131" s="16">
        <f t="shared" si="31"/>
        <v>0</v>
      </c>
      <c r="AE131" s="17"/>
      <c r="AF131" s="26"/>
      <c r="AG131" s="27"/>
      <c r="AH131" s="27"/>
      <c r="AI131" s="27"/>
      <c r="AJ131" s="28"/>
      <c r="AK131" s="181"/>
      <c r="AL131" s="182"/>
    </row>
    <row r="132" spans="1:40" s="12" customFormat="1" ht="94.5" customHeight="1" x14ac:dyDescent="2.1">
      <c r="B132" s="13" t="s">
        <v>149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12">
        <v>0</v>
      </c>
      <c r="Y132" s="14">
        <f t="shared" si="36"/>
        <v>0</v>
      </c>
      <c r="Z132" s="14">
        <f t="shared" si="37"/>
        <v>0</v>
      </c>
      <c r="AA132" s="13" t="s">
        <v>149</v>
      </c>
      <c r="AB132" s="156"/>
      <c r="AC132" s="157"/>
      <c r="AD132" s="16">
        <f t="shared" si="31"/>
        <v>0</v>
      </c>
      <c r="AE132" s="17"/>
      <c r="AF132"/>
      <c r="AG132"/>
      <c r="AH132"/>
      <c r="AI132"/>
      <c r="AJ132"/>
      <c r="AK132" s="181"/>
      <c r="AL132" s="182"/>
    </row>
    <row r="133" spans="1:40" s="12" customFormat="1" ht="146.25" x14ac:dyDescent="2.1">
      <c r="B133" s="13" t="s">
        <v>150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</v>
      </c>
      <c r="T133" s="14">
        <v>0</v>
      </c>
      <c r="U133" s="14">
        <v>0</v>
      </c>
      <c r="V133" s="14">
        <v>0</v>
      </c>
      <c r="W133" s="14">
        <v>0</v>
      </c>
      <c r="X133" s="112">
        <v>0</v>
      </c>
      <c r="Y133" s="14">
        <f t="shared" si="36"/>
        <v>0</v>
      </c>
      <c r="Z133" s="14">
        <f t="shared" si="37"/>
        <v>0</v>
      </c>
      <c r="AA133" s="13" t="s">
        <v>150</v>
      </c>
      <c r="AB133" s="156"/>
      <c r="AC133" s="157"/>
      <c r="AD133" s="16">
        <f t="shared" si="31"/>
        <v>0</v>
      </c>
      <c r="AE133" s="17"/>
      <c r="AF133" s="26"/>
      <c r="AG133" s="27"/>
      <c r="AH133" s="27"/>
      <c r="AI133" s="27"/>
      <c r="AJ133" s="28"/>
      <c r="AK133" s="181"/>
      <c r="AL133" s="182"/>
    </row>
    <row r="134" spans="1:40" s="12" customFormat="1" ht="146.25" x14ac:dyDescent="2.1">
      <c r="B134" s="13" t="s">
        <v>151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12">
        <v>0</v>
      </c>
      <c r="Y134" s="14">
        <f t="shared" si="36"/>
        <v>0</v>
      </c>
      <c r="Z134" s="14">
        <f t="shared" si="37"/>
        <v>0</v>
      </c>
      <c r="AA134" s="13" t="s">
        <v>151</v>
      </c>
      <c r="AB134" s="156"/>
      <c r="AC134" s="157"/>
      <c r="AD134" s="16">
        <f t="shared" si="31"/>
        <v>0</v>
      </c>
      <c r="AE134" s="17"/>
      <c r="AF134" s="26"/>
      <c r="AG134" s="27"/>
      <c r="AH134" s="27"/>
      <c r="AI134" s="27"/>
      <c r="AJ134" s="28"/>
      <c r="AK134" s="181"/>
      <c r="AL134" s="182"/>
    </row>
    <row r="135" spans="1:40" s="12" customFormat="1" ht="147" thickBot="1" x14ac:dyDescent="2.15">
      <c r="B135" s="13" t="s">
        <v>152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12">
        <v>0</v>
      </c>
      <c r="Y135" s="14">
        <f t="shared" si="36"/>
        <v>0</v>
      </c>
      <c r="Z135" s="14">
        <f t="shared" si="37"/>
        <v>0</v>
      </c>
      <c r="AA135" s="13" t="s">
        <v>152</v>
      </c>
      <c r="AB135" s="156"/>
      <c r="AC135" s="157"/>
      <c r="AD135" s="16">
        <f t="shared" si="31"/>
        <v>0</v>
      </c>
      <c r="AE135" s="17"/>
      <c r="AF135" s="83"/>
      <c r="AG135" s="84"/>
      <c r="AH135" s="84"/>
      <c r="AI135" s="84"/>
      <c r="AJ135" s="85"/>
      <c r="AK135" s="181"/>
      <c r="AL135" s="182"/>
    </row>
    <row r="136" spans="1:40" s="12" customFormat="1" ht="113.25" customHeight="1" thickBot="1" x14ac:dyDescent="2.15">
      <c r="B136" s="13"/>
      <c r="C136" s="30">
        <f>SUM(C126:C135)</f>
        <v>0</v>
      </c>
      <c r="D136" s="30">
        <f t="shared" ref="D136:W136" si="38">SUM(D126:D135)</f>
        <v>0</v>
      </c>
      <c r="E136" s="30">
        <f t="shared" si="38"/>
        <v>0</v>
      </c>
      <c r="F136" s="30">
        <f t="shared" si="38"/>
        <v>0</v>
      </c>
      <c r="G136" s="30">
        <f t="shared" si="38"/>
        <v>0</v>
      </c>
      <c r="H136" s="30">
        <f t="shared" si="38"/>
        <v>0</v>
      </c>
      <c r="I136" s="30">
        <f t="shared" si="38"/>
        <v>0</v>
      </c>
      <c r="J136" s="30">
        <f t="shared" si="38"/>
        <v>0</v>
      </c>
      <c r="K136" s="30">
        <f t="shared" si="38"/>
        <v>0</v>
      </c>
      <c r="L136" s="30">
        <f t="shared" si="38"/>
        <v>0</v>
      </c>
      <c r="M136" s="30">
        <f t="shared" si="38"/>
        <v>0</v>
      </c>
      <c r="N136" s="30">
        <f t="shared" si="38"/>
        <v>0</v>
      </c>
      <c r="O136" s="30">
        <f t="shared" si="38"/>
        <v>0</v>
      </c>
      <c r="P136" s="30">
        <f t="shared" si="38"/>
        <v>0</v>
      </c>
      <c r="Q136" s="30">
        <f t="shared" si="38"/>
        <v>0</v>
      </c>
      <c r="R136" s="30">
        <f t="shared" si="38"/>
        <v>0</v>
      </c>
      <c r="S136" s="30">
        <f t="shared" si="38"/>
        <v>0</v>
      </c>
      <c r="T136" s="30">
        <f t="shared" si="38"/>
        <v>0</v>
      </c>
      <c r="U136" s="30">
        <f t="shared" si="38"/>
        <v>0</v>
      </c>
      <c r="V136" s="30">
        <f t="shared" si="38"/>
        <v>0</v>
      </c>
      <c r="W136" s="30">
        <f t="shared" si="38"/>
        <v>0</v>
      </c>
      <c r="X136" s="113">
        <v>0</v>
      </c>
      <c r="Y136" s="14"/>
      <c r="Z136" s="14"/>
      <c r="AA136" s="13"/>
      <c r="AB136" s="158"/>
      <c r="AC136" s="159"/>
      <c r="AD136" s="16">
        <f t="shared" si="31"/>
        <v>0</v>
      </c>
      <c r="AE136" s="17"/>
      <c r="AF136" s="175" t="s">
        <v>153</v>
      </c>
      <c r="AG136" s="176"/>
      <c r="AH136" s="176"/>
      <c r="AI136" s="176"/>
      <c r="AJ136" s="176"/>
      <c r="AK136" s="181"/>
      <c r="AL136" s="182"/>
    </row>
    <row r="137" spans="1:40" s="12" customFormat="1" ht="146.25" x14ac:dyDescent="2.1">
      <c r="B137" s="13" t="s">
        <v>154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12">
        <v>0</v>
      </c>
      <c r="Y137" s="14">
        <f>SUM(C137,E137,G137,I137,K137,,M137,O137,Q137,S137,U137,W137)</f>
        <v>0</v>
      </c>
      <c r="Z137" s="14">
        <f>SUM(D137,F137,H137,J137,L137,,N137,P137,R137,T137,V137)</f>
        <v>0</v>
      </c>
      <c r="AA137" s="13" t="s">
        <v>154</v>
      </c>
      <c r="AB137" s="149"/>
      <c r="AC137" s="150"/>
      <c r="AD137" s="16">
        <f>X137</f>
        <v>0</v>
      </c>
      <c r="AE137" s="17"/>
      <c r="AF137" s="177">
        <f>AD137</f>
        <v>0</v>
      </c>
      <c r="AG137" s="176"/>
      <c r="AH137" s="176"/>
      <c r="AI137" s="176"/>
      <c r="AJ137" s="176"/>
      <c r="AK137" s="181"/>
      <c r="AL137" s="182"/>
    </row>
    <row r="138" spans="1:40" s="88" customFormat="1" ht="108" customHeight="1" x14ac:dyDescent="2.35">
      <c r="A138"/>
      <c r="B138" s="86" t="s">
        <v>155</v>
      </c>
      <c r="C138" s="135" t="s">
        <v>2</v>
      </c>
      <c r="D138" s="136"/>
      <c r="E138" s="135" t="s">
        <v>3</v>
      </c>
      <c r="F138" s="136"/>
      <c r="G138" s="135" t="s">
        <v>4</v>
      </c>
      <c r="H138" s="136"/>
      <c r="I138" s="135" t="s">
        <v>5</v>
      </c>
      <c r="J138" s="136"/>
      <c r="K138" s="135" t="s">
        <v>6</v>
      </c>
      <c r="L138" s="136"/>
      <c r="M138" s="135" t="s">
        <v>7</v>
      </c>
      <c r="N138" s="136"/>
      <c r="O138" s="135" t="s">
        <v>8</v>
      </c>
      <c r="P138" s="136"/>
      <c r="Q138" s="135" t="s">
        <v>9</v>
      </c>
      <c r="R138" s="136"/>
      <c r="S138" s="135" t="s">
        <v>10</v>
      </c>
      <c r="T138" s="136"/>
      <c r="U138" s="135" t="s">
        <v>11</v>
      </c>
      <c r="V138" s="136"/>
      <c r="W138" s="9" t="s">
        <v>12</v>
      </c>
      <c r="X138" s="118"/>
      <c r="Y138" s="49" t="s">
        <v>13</v>
      </c>
      <c r="Z138" s="49" t="s">
        <v>14</v>
      </c>
      <c r="AA138" s="86" t="s">
        <v>155</v>
      </c>
      <c r="AB138" s="152"/>
      <c r="AC138" s="153"/>
      <c r="AD138" s="6" t="s">
        <v>16</v>
      </c>
      <c r="AE138" s="7"/>
      <c r="AF138" s="2"/>
      <c r="AG138" s="2"/>
      <c r="AH138" s="2"/>
      <c r="AI138" s="2"/>
      <c r="AJ138" s="2"/>
      <c r="AK138" s="87"/>
      <c r="AL138" s="87"/>
      <c r="AM138" s="47"/>
      <c r="AN138" s="47"/>
    </row>
    <row r="139" spans="1:40" s="47" customFormat="1" ht="112.5" customHeight="1" x14ac:dyDescent="2.35">
      <c r="A139" s="12"/>
      <c r="B139" s="13" t="s">
        <v>156</v>
      </c>
      <c r="C139" s="14">
        <v>0</v>
      </c>
      <c r="D139" s="14">
        <v>0</v>
      </c>
      <c r="E139" s="14">
        <v>0</v>
      </c>
      <c r="F139" s="14">
        <v>0</v>
      </c>
      <c r="G139" s="14">
        <v>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</v>
      </c>
      <c r="U139" s="14">
        <v>0</v>
      </c>
      <c r="V139" s="14">
        <v>0</v>
      </c>
      <c r="W139" s="14">
        <v>0</v>
      </c>
      <c r="X139" s="112">
        <v>0</v>
      </c>
      <c r="Y139" s="14">
        <f>SUM(C139,E139,G139,I139,K139,,M139,O139,Q139,S139,U139,W139)</f>
        <v>0</v>
      </c>
      <c r="Z139" s="14">
        <f>SUM(D139,F139,H139,J139,L139,,N139,P139,R139,T139,V139)</f>
        <v>0</v>
      </c>
      <c r="AA139" s="13" t="s">
        <v>156</v>
      </c>
      <c r="AB139" s="171">
        <f>SUM(Y139:Y140)</f>
        <v>0</v>
      </c>
      <c r="AC139" s="172"/>
      <c r="AD139" s="16">
        <f>X139</f>
        <v>0</v>
      </c>
      <c r="AE139" s="17"/>
      <c r="AF139" s="2"/>
      <c r="AG139" s="2"/>
      <c r="AH139" s="2"/>
      <c r="AI139" s="2"/>
      <c r="AJ139" s="2"/>
      <c r="AK139" s="87"/>
      <c r="AL139" s="87"/>
    </row>
    <row r="140" spans="1:40" s="47" customFormat="1" ht="112.5" customHeight="1" x14ac:dyDescent="2.35">
      <c r="A140" s="12"/>
      <c r="B140" s="13" t="s">
        <v>157</v>
      </c>
      <c r="C140" s="14">
        <v>0</v>
      </c>
      <c r="D140" s="14">
        <v>0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0</v>
      </c>
      <c r="V140" s="14">
        <v>0</v>
      </c>
      <c r="W140" s="14">
        <v>0</v>
      </c>
      <c r="X140" s="112">
        <v>0</v>
      </c>
      <c r="Y140" s="14">
        <f>SUM(C140,E140,G140,I140,K140,,M140,O140,Q140,S140,U140,W140)</f>
        <v>0</v>
      </c>
      <c r="Z140" s="14">
        <f>SUM(D140,F140,H140,J140,L140,,N140,P140,R140,T140,V140)</f>
        <v>0</v>
      </c>
      <c r="AA140" s="13" t="s">
        <v>157</v>
      </c>
      <c r="AB140" s="173"/>
      <c r="AC140" s="174"/>
      <c r="AD140" s="16">
        <f>X140</f>
        <v>0</v>
      </c>
      <c r="AE140" s="17"/>
      <c r="AF140" s="2"/>
      <c r="AG140" s="2"/>
      <c r="AH140" s="2"/>
      <c r="AI140" s="2"/>
      <c r="AJ140" s="2"/>
      <c r="AK140" s="89"/>
      <c r="AL140" s="89"/>
      <c r="AM140" s="88"/>
      <c r="AN140" s="88"/>
    </row>
    <row r="141" spans="1:40" s="88" customFormat="1" ht="108" customHeight="1" x14ac:dyDescent="2.35">
      <c r="A141"/>
      <c r="B141" s="86" t="s">
        <v>212</v>
      </c>
      <c r="C141" s="135" t="s">
        <v>2</v>
      </c>
      <c r="D141" s="136"/>
      <c r="E141" s="135" t="s">
        <v>3</v>
      </c>
      <c r="F141" s="136"/>
      <c r="G141" s="135" t="s">
        <v>4</v>
      </c>
      <c r="H141" s="136"/>
      <c r="I141" s="135" t="s">
        <v>5</v>
      </c>
      <c r="J141" s="136"/>
      <c r="K141" s="135" t="s">
        <v>6</v>
      </c>
      <c r="L141" s="136"/>
      <c r="M141" s="135" t="s">
        <v>7</v>
      </c>
      <c r="N141" s="136"/>
      <c r="O141" s="135" t="s">
        <v>8</v>
      </c>
      <c r="P141" s="136"/>
      <c r="Q141" s="135" t="s">
        <v>9</v>
      </c>
      <c r="R141" s="136"/>
      <c r="S141" s="135" t="s">
        <v>10</v>
      </c>
      <c r="T141" s="136"/>
      <c r="U141" s="135" t="s">
        <v>11</v>
      </c>
      <c r="V141" s="136"/>
      <c r="W141" s="9" t="s">
        <v>12</v>
      </c>
      <c r="X141" s="118"/>
      <c r="Y141" s="49" t="s">
        <v>13</v>
      </c>
      <c r="Z141" s="49" t="s">
        <v>14</v>
      </c>
      <c r="AA141" s="86" t="s">
        <v>158</v>
      </c>
      <c r="AB141" s="152"/>
      <c r="AC141" s="153"/>
      <c r="AD141" s="6" t="s">
        <v>16</v>
      </c>
      <c r="AE141" s="7"/>
      <c r="AF141" s="2"/>
      <c r="AG141" s="2"/>
      <c r="AH141" s="2"/>
      <c r="AI141" s="2"/>
      <c r="AJ141" s="2"/>
      <c r="AK141" s="87"/>
      <c r="AL141" s="87"/>
      <c r="AM141" s="47"/>
      <c r="AN141" s="47"/>
    </row>
    <row r="142" spans="1:40" s="47" customFormat="1" ht="116.25" customHeight="1" x14ac:dyDescent="2.35">
      <c r="A142" s="12"/>
      <c r="B142" s="13" t="s">
        <v>159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12">
        <v>0</v>
      </c>
      <c r="Y142" s="14">
        <f t="shared" ref="Y142:Y152" si="39">SUM(C142,E142,G142,I142,K142,,M142,O142,Q142,S142,U142,W142)</f>
        <v>0</v>
      </c>
      <c r="Z142" s="14">
        <f t="shared" ref="Z142:Z152" si="40">SUM(D142,F142,H142,J142,L142,,N142,P142,R142,T142,V142)</f>
        <v>0</v>
      </c>
      <c r="AA142" s="13" t="s">
        <v>159</v>
      </c>
      <c r="AB142" s="154">
        <f>SUM(Y142:Y152)</f>
        <v>0</v>
      </c>
      <c r="AC142" s="155"/>
      <c r="AD142" s="16">
        <f>X142</f>
        <v>0</v>
      </c>
      <c r="AE142" s="17"/>
      <c r="AF142" s="2"/>
      <c r="AG142" s="2"/>
      <c r="AH142" s="2"/>
      <c r="AI142" s="2"/>
      <c r="AJ142" s="2"/>
      <c r="AK142" s="87"/>
      <c r="AL142" s="87"/>
    </row>
    <row r="143" spans="1:40" s="47" customFormat="1" ht="116.25" customHeight="1" x14ac:dyDescent="2.35">
      <c r="A143" s="12"/>
      <c r="B143" s="13" t="s">
        <v>158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</v>
      </c>
      <c r="W143" s="14">
        <v>0</v>
      </c>
      <c r="X143" s="112">
        <v>0</v>
      </c>
      <c r="Y143" s="14">
        <f t="shared" si="39"/>
        <v>0</v>
      </c>
      <c r="Z143" s="14">
        <f t="shared" si="40"/>
        <v>0</v>
      </c>
      <c r="AA143" s="13" t="s">
        <v>158</v>
      </c>
      <c r="AB143" s="156"/>
      <c r="AC143" s="157"/>
      <c r="AD143" s="16">
        <f t="shared" ref="AD143:AD152" si="41">X143</f>
        <v>0</v>
      </c>
      <c r="AE143" s="17"/>
      <c r="AF143" s="2"/>
      <c r="AG143" s="2"/>
      <c r="AH143" s="2"/>
      <c r="AI143" s="2"/>
      <c r="AJ143" s="2"/>
      <c r="AK143" s="87"/>
      <c r="AL143" s="87"/>
    </row>
    <row r="144" spans="1:40" s="47" customFormat="1" x14ac:dyDescent="2.35">
      <c r="A144" s="12"/>
      <c r="B144" s="13" t="s">
        <v>160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0</v>
      </c>
      <c r="Q144" s="14">
        <v>0</v>
      </c>
      <c r="R144" s="14">
        <v>0</v>
      </c>
      <c r="S144" s="14">
        <v>0</v>
      </c>
      <c r="T144" s="14">
        <v>0</v>
      </c>
      <c r="U144" s="14">
        <v>0</v>
      </c>
      <c r="V144" s="14">
        <v>0</v>
      </c>
      <c r="W144" s="14">
        <v>0</v>
      </c>
      <c r="X144" s="112">
        <v>0</v>
      </c>
      <c r="Y144" s="14">
        <f t="shared" si="39"/>
        <v>0</v>
      </c>
      <c r="Z144" s="14">
        <f t="shared" si="40"/>
        <v>0</v>
      </c>
      <c r="AA144" s="13" t="s">
        <v>160</v>
      </c>
      <c r="AB144" s="156"/>
      <c r="AC144" s="157"/>
      <c r="AD144" s="16">
        <f t="shared" si="41"/>
        <v>0</v>
      </c>
      <c r="AE144" s="17"/>
      <c r="AF144" s="2"/>
      <c r="AG144" s="2"/>
      <c r="AH144" s="2"/>
      <c r="AI144" s="2"/>
      <c r="AJ144" s="2"/>
      <c r="AK144" s="87"/>
      <c r="AL144" s="87"/>
    </row>
    <row r="145" spans="1:40" s="47" customFormat="1" ht="116.25" customHeight="1" x14ac:dyDescent="2.35">
      <c r="A145" s="12"/>
      <c r="B145" s="13" t="s">
        <v>161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12">
        <v>0</v>
      </c>
      <c r="Y145" s="14">
        <f t="shared" si="39"/>
        <v>0</v>
      </c>
      <c r="Z145" s="14">
        <f t="shared" si="40"/>
        <v>0</v>
      </c>
      <c r="AA145" s="13" t="s">
        <v>161</v>
      </c>
      <c r="AB145" s="156"/>
      <c r="AC145" s="157"/>
      <c r="AD145" s="16">
        <f t="shared" si="41"/>
        <v>0</v>
      </c>
      <c r="AE145" s="17"/>
      <c r="AF145" s="2"/>
      <c r="AG145" s="2"/>
      <c r="AH145" s="2"/>
      <c r="AI145" s="2"/>
      <c r="AJ145" s="2"/>
      <c r="AK145" s="87"/>
      <c r="AL145" s="87"/>
    </row>
    <row r="146" spans="1:40" s="47" customFormat="1" ht="116.25" customHeight="1" x14ac:dyDescent="2.35">
      <c r="A146" s="12"/>
      <c r="B146" s="13" t="s">
        <v>162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12">
        <v>0</v>
      </c>
      <c r="Y146" s="14">
        <f t="shared" si="39"/>
        <v>0</v>
      </c>
      <c r="Z146" s="14">
        <f t="shared" si="40"/>
        <v>0</v>
      </c>
      <c r="AA146" s="13" t="s">
        <v>162</v>
      </c>
      <c r="AB146" s="156"/>
      <c r="AC146" s="157"/>
      <c r="AD146" s="16">
        <f t="shared" si="41"/>
        <v>0</v>
      </c>
      <c r="AE146" s="17"/>
      <c r="AF146" s="2"/>
      <c r="AG146" s="2"/>
      <c r="AH146" s="2"/>
      <c r="AI146" s="2"/>
      <c r="AJ146" s="2"/>
      <c r="AK146" s="87"/>
      <c r="AL146" s="87"/>
    </row>
    <row r="147" spans="1:40" s="47" customFormat="1" ht="116.25" customHeight="1" x14ac:dyDescent="2.35">
      <c r="A147" s="12"/>
      <c r="B147" s="13" t="s">
        <v>163</v>
      </c>
      <c r="C147" s="14">
        <v>0</v>
      </c>
      <c r="D147" s="14">
        <v>0</v>
      </c>
      <c r="E147" s="14">
        <v>0</v>
      </c>
      <c r="F147" s="14">
        <v>0</v>
      </c>
      <c r="G147" s="14">
        <v>0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</v>
      </c>
      <c r="W147" s="14">
        <v>0</v>
      </c>
      <c r="X147" s="112">
        <v>0</v>
      </c>
      <c r="Y147" s="14">
        <f t="shared" si="39"/>
        <v>0</v>
      </c>
      <c r="Z147" s="14">
        <f t="shared" si="40"/>
        <v>0</v>
      </c>
      <c r="AA147" s="13" t="s">
        <v>163</v>
      </c>
      <c r="AB147" s="156"/>
      <c r="AC147" s="157"/>
      <c r="AD147" s="16">
        <f t="shared" si="41"/>
        <v>0</v>
      </c>
      <c r="AE147" s="17"/>
      <c r="AF147" s="2"/>
      <c r="AG147" s="2"/>
      <c r="AH147" s="2"/>
      <c r="AI147" s="2"/>
      <c r="AJ147" s="2"/>
      <c r="AK147" s="87"/>
      <c r="AL147" s="87"/>
    </row>
    <row r="148" spans="1:40" s="47" customFormat="1" ht="116.25" customHeight="1" x14ac:dyDescent="2.35">
      <c r="A148" s="12"/>
      <c r="B148" s="13" t="s">
        <v>164</v>
      </c>
      <c r="C148" s="14">
        <v>0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0</v>
      </c>
      <c r="T148" s="14">
        <v>0</v>
      </c>
      <c r="U148" s="14">
        <v>0</v>
      </c>
      <c r="V148" s="14">
        <v>0</v>
      </c>
      <c r="W148" s="14">
        <v>0</v>
      </c>
      <c r="X148" s="112">
        <v>0</v>
      </c>
      <c r="Y148" s="14">
        <f t="shared" si="39"/>
        <v>0</v>
      </c>
      <c r="Z148" s="14">
        <f t="shared" si="40"/>
        <v>0</v>
      </c>
      <c r="AA148" s="13" t="s">
        <v>164</v>
      </c>
      <c r="AB148" s="156"/>
      <c r="AC148" s="157"/>
      <c r="AD148" s="16">
        <f t="shared" si="41"/>
        <v>0</v>
      </c>
      <c r="AE148" s="17"/>
      <c r="AF148" s="2"/>
      <c r="AG148" s="2"/>
      <c r="AH148" s="2"/>
      <c r="AI148" s="2"/>
      <c r="AJ148" s="2"/>
      <c r="AK148" s="87"/>
      <c r="AL148" s="87"/>
    </row>
    <row r="149" spans="1:40" s="47" customFormat="1" ht="116.25" customHeight="1" x14ac:dyDescent="2.35">
      <c r="A149" s="12"/>
      <c r="B149" s="13" t="s">
        <v>165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12">
        <v>0</v>
      </c>
      <c r="Y149" s="14">
        <f t="shared" si="39"/>
        <v>0</v>
      </c>
      <c r="Z149" s="14">
        <f t="shared" si="40"/>
        <v>0</v>
      </c>
      <c r="AA149" s="13" t="s">
        <v>165</v>
      </c>
      <c r="AB149" s="156"/>
      <c r="AC149" s="157"/>
      <c r="AD149" s="16">
        <f t="shared" si="41"/>
        <v>0</v>
      </c>
      <c r="AE149" s="17"/>
      <c r="AF149" s="2"/>
      <c r="AG149" s="2"/>
      <c r="AH149" s="2"/>
      <c r="AI149" s="2"/>
      <c r="AJ149" s="2"/>
      <c r="AK149" s="87"/>
      <c r="AL149" s="87"/>
    </row>
    <row r="150" spans="1:40" s="47" customFormat="1" x14ac:dyDescent="2.35">
      <c r="A150" s="12"/>
      <c r="B150" s="13" t="s">
        <v>166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12">
        <v>0</v>
      </c>
      <c r="Y150" s="14">
        <f t="shared" si="39"/>
        <v>0</v>
      </c>
      <c r="Z150" s="14">
        <f t="shared" si="40"/>
        <v>0</v>
      </c>
      <c r="AA150" s="13" t="s">
        <v>166</v>
      </c>
      <c r="AB150" s="156"/>
      <c r="AC150" s="157"/>
      <c r="AD150" s="16">
        <f t="shared" si="41"/>
        <v>0</v>
      </c>
      <c r="AE150" s="17"/>
      <c r="AF150" s="2"/>
      <c r="AG150" s="2"/>
      <c r="AH150" s="2"/>
      <c r="AI150" s="2"/>
      <c r="AJ150" s="2"/>
      <c r="AK150" s="87"/>
      <c r="AL150" s="87"/>
    </row>
    <row r="151" spans="1:40" s="47" customFormat="1" x14ac:dyDescent="2.35">
      <c r="A151" s="12"/>
      <c r="B151" s="13" t="s">
        <v>167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14">
        <v>0</v>
      </c>
      <c r="U151" s="14">
        <v>0</v>
      </c>
      <c r="V151" s="14">
        <v>0</v>
      </c>
      <c r="W151" s="14">
        <v>0</v>
      </c>
      <c r="X151" s="112">
        <v>0</v>
      </c>
      <c r="Y151" s="14">
        <f t="shared" si="39"/>
        <v>0</v>
      </c>
      <c r="Z151" s="14">
        <f t="shared" si="40"/>
        <v>0</v>
      </c>
      <c r="AA151" s="13" t="s">
        <v>168</v>
      </c>
      <c r="AB151" s="156"/>
      <c r="AC151" s="157"/>
      <c r="AD151" s="16">
        <f t="shared" si="41"/>
        <v>0</v>
      </c>
      <c r="AE151" s="17"/>
      <c r="AF151" s="2"/>
      <c r="AG151" s="2"/>
      <c r="AH151" s="2"/>
      <c r="AI151" s="2"/>
      <c r="AJ151" s="2"/>
      <c r="AK151" s="87"/>
      <c r="AL151" s="87"/>
    </row>
    <row r="152" spans="1:40" s="47" customFormat="1" ht="116.25" customHeight="1" x14ac:dyDescent="2.35">
      <c r="A152" s="12"/>
      <c r="B152" s="13" t="s">
        <v>169</v>
      </c>
      <c r="C152" s="14">
        <v>0</v>
      </c>
      <c r="D152" s="14">
        <v>0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  <c r="P152" s="14">
        <v>0</v>
      </c>
      <c r="Q152" s="14">
        <v>0</v>
      </c>
      <c r="R152" s="14">
        <v>0</v>
      </c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112">
        <v>0</v>
      </c>
      <c r="Y152" s="14">
        <f t="shared" si="39"/>
        <v>0</v>
      </c>
      <c r="Z152" s="14">
        <f t="shared" si="40"/>
        <v>0</v>
      </c>
      <c r="AA152" s="13" t="s">
        <v>169</v>
      </c>
      <c r="AB152" s="158"/>
      <c r="AC152" s="159"/>
      <c r="AD152" s="16">
        <f t="shared" si="41"/>
        <v>0</v>
      </c>
      <c r="AE152" s="17"/>
      <c r="AF152" s="2"/>
      <c r="AG152" s="2"/>
      <c r="AH152" s="2"/>
      <c r="AI152" s="2"/>
      <c r="AJ152" s="2"/>
      <c r="AK152" s="90"/>
      <c r="AL152" s="90"/>
      <c r="AM152" s="91"/>
      <c r="AN152" s="88"/>
    </row>
    <row r="153" spans="1:40" s="12" customFormat="1" ht="113.25" customHeight="1" x14ac:dyDescent="2.1">
      <c r="B153" s="13"/>
      <c r="C153" s="30">
        <f t="shared" ref="C153:W153" si="42">SUM(C142:C152)</f>
        <v>0</v>
      </c>
      <c r="D153" s="30">
        <f t="shared" si="42"/>
        <v>0</v>
      </c>
      <c r="E153" s="30">
        <f t="shared" si="42"/>
        <v>0</v>
      </c>
      <c r="F153" s="30">
        <f t="shared" si="42"/>
        <v>0</v>
      </c>
      <c r="G153" s="30">
        <f t="shared" si="42"/>
        <v>0</v>
      </c>
      <c r="H153" s="30">
        <f t="shared" si="42"/>
        <v>0</v>
      </c>
      <c r="I153" s="30">
        <f t="shared" si="42"/>
        <v>0</v>
      </c>
      <c r="J153" s="30">
        <f t="shared" si="42"/>
        <v>0</v>
      </c>
      <c r="K153" s="30">
        <f t="shared" si="42"/>
        <v>0</v>
      </c>
      <c r="L153" s="30">
        <f t="shared" si="42"/>
        <v>0</v>
      </c>
      <c r="M153" s="30">
        <f t="shared" si="42"/>
        <v>0</v>
      </c>
      <c r="N153" s="30">
        <f t="shared" si="42"/>
        <v>0</v>
      </c>
      <c r="O153" s="30">
        <f t="shared" si="42"/>
        <v>0</v>
      </c>
      <c r="P153" s="30">
        <f t="shared" si="42"/>
        <v>0</v>
      </c>
      <c r="Q153" s="30">
        <f t="shared" si="42"/>
        <v>0</v>
      </c>
      <c r="R153" s="30">
        <f t="shared" si="42"/>
        <v>0</v>
      </c>
      <c r="S153" s="30">
        <f t="shared" si="42"/>
        <v>0</v>
      </c>
      <c r="T153" s="30">
        <f t="shared" si="42"/>
        <v>0</v>
      </c>
      <c r="U153" s="30">
        <f t="shared" si="42"/>
        <v>0</v>
      </c>
      <c r="V153" s="30">
        <f t="shared" si="42"/>
        <v>0</v>
      </c>
      <c r="W153" s="30">
        <f t="shared" si="42"/>
        <v>0</v>
      </c>
      <c r="X153" s="113"/>
      <c r="Y153" s="14"/>
      <c r="Z153" s="14"/>
      <c r="AA153" s="13"/>
      <c r="AB153" s="149"/>
      <c r="AC153" s="150"/>
      <c r="AD153" s="16">
        <v>0</v>
      </c>
      <c r="AE153" s="17"/>
      <c r="AF153" s="2"/>
      <c r="AG153" s="2"/>
      <c r="AH153" s="2"/>
      <c r="AI153" s="2"/>
      <c r="AJ153" s="2"/>
      <c r="AK153" s="92"/>
      <c r="AL153" s="92"/>
    </row>
    <row r="154" spans="1:40" ht="126" customHeight="1" x14ac:dyDescent="1.85">
      <c r="B154" s="169" t="s">
        <v>0</v>
      </c>
      <c r="C154" s="170"/>
      <c r="D154" s="170"/>
      <c r="E154" s="170"/>
      <c r="F154" s="170"/>
      <c r="G154" s="170"/>
      <c r="H154" s="170"/>
      <c r="I154" s="170"/>
      <c r="J154" s="170"/>
      <c r="K154" s="170"/>
      <c r="L154" s="170"/>
      <c r="M154" s="170"/>
      <c r="N154" s="170"/>
      <c r="O154" s="170"/>
      <c r="P154" s="170"/>
      <c r="Q154" s="170"/>
      <c r="R154" s="170"/>
      <c r="S154" s="170"/>
      <c r="T154" s="170"/>
      <c r="U154" s="170"/>
      <c r="V154" s="170"/>
      <c r="W154" s="170"/>
      <c r="X154" s="170"/>
      <c r="Y154" s="170"/>
      <c r="Z154" s="170"/>
      <c r="AA154" s="170"/>
      <c r="AB154" s="170"/>
      <c r="AC154" s="170"/>
      <c r="AD154" s="170"/>
      <c r="AE154" s="1"/>
      <c r="AK154" s="92"/>
      <c r="AL154" s="92"/>
    </row>
    <row r="155" spans="1:40" s="88" customFormat="1" ht="138.75" customHeight="1" x14ac:dyDescent="2.35">
      <c r="A155"/>
      <c r="B155" s="167" t="s">
        <v>170</v>
      </c>
      <c r="C155" s="135" t="s">
        <v>2</v>
      </c>
      <c r="D155" s="136"/>
      <c r="E155" s="135" t="s">
        <v>3</v>
      </c>
      <c r="F155" s="136"/>
      <c r="G155" s="135" t="s">
        <v>4</v>
      </c>
      <c r="H155" s="136"/>
      <c r="I155" s="135" t="s">
        <v>5</v>
      </c>
      <c r="J155" s="136"/>
      <c r="K155" s="135" t="s">
        <v>6</v>
      </c>
      <c r="L155" s="136"/>
      <c r="M155" s="135" t="s">
        <v>7</v>
      </c>
      <c r="N155" s="136"/>
      <c r="O155" s="135" t="s">
        <v>8</v>
      </c>
      <c r="P155" s="136"/>
      <c r="Q155" s="135" t="s">
        <v>9</v>
      </c>
      <c r="R155" s="136"/>
      <c r="S155" s="135" t="s">
        <v>10</v>
      </c>
      <c r="T155" s="136"/>
      <c r="U155" s="135" t="s">
        <v>11</v>
      </c>
      <c r="V155" s="136"/>
      <c r="W155" s="167" t="s">
        <v>12</v>
      </c>
      <c r="X155" s="110"/>
      <c r="Y155" s="167" t="s">
        <v>13</v>
      </c>
      <c r="Z155" s="167" t="s">
        <v>14</v>
      </c>
      <c r="AA155" s="167" t="s">
        <v>170</v>
      </c>
      <c r="AB155" s="152"/>
      <c r="AC155" s="153"/>
      <c r="AD155" s="6" t="s">
        <v>16</v>
      </c>
      <c r="AE155" s="7"/>
      <c r="AF155" s="2"/>
      <c r="AG155" s="2"/>
      <c r="AH155" s="2"/>
      <c r="AI155" s="2"/>
      <c r="AJ155" s="2"/>
      <c r="AK155" s="8"/>
      <c r="AL155" s="8"/>
      <c r="AM155" s="12"/>
      <c r="AN155" s="12"/>
    </row>
    <row r="156" spans="1:40" s="4" customFormat="1" ht="138" customHeight="1" x14ac:dyDescent="2.35">
      <c r="B156" s="168"/>
      <c r="C156" s="9" t="s">
        <v>17</v>
      </c>
      <c r="D156" s="9" t="s">
        <v>18</v>
      </c>
      <c r="E156" s="9" t="s">
        <v>17</v>
      </c>
      <c r="F156" s="9" t="s">
        <v>18</v>
      </c>
      <c r="G156" s="9" t="s">
        <v>17</v>
      </c>
      <c r="H156" s="9" t="s">
        <v>18</v>
      </c>
      <c r="I156" s="9" t="s">
        <v>17</v>
      </c>
      <c r="J156" s="9" t="s">
        <v>18</v>
      </c>
      <c r="K156" s="9" t="s">
        <v>17</v>
      </c>
      <c r="L156" s="9" t="s">
        <v>18</v>
      </c>
      <c r="M156" s="9" t="s">
        <v>17</v>
      </c>
      <c r="N156" s="9" t="s">
        <v>18</v>
      </c>
      <c r="O156" s="9" t="s">
        <v>17</v>
      </c>
      <c r="P156" s="9" t="s">
        <v>18</v>
      </c>
      <c r="Q156" s="9" t="s">
        <v>17</v>
      </c>
      <c r="R156" s="9" t="s">
        <v>18</v>
      </c>
      <c r="S156" s="9" t="s">
        <v>17</v>
      </c>
      <c r="T156" s="9" t="s">
        <v>18</v>
      </c>
      <c r="U156" s="9" t="s">
        <v>17</v>
      </c>
      <c r="V156" s="9" t="s">
        <v>18</v>
      </c>
      <c r="W156" s="168"/>
      <c r="X156" s="111"/>
      <c r="Y156" s="168"/>
      <c r="Z156" s="168"/>
      <c r="AA156" s="168"/>
      <c r="AB156" s="10"/>
      <c r="AC156" s="11"/>
      <c r="AD156" s="6">
        <v>0</v>
      </c>
      <c r="AE156" s="7"/>
      <c r="AF156" s="2"/>
      <c r="AG156" s="2"/>
      <c r="AH156" s="2"/>
      <c r="AI156" s="2"/>
      <c r="AJ156" s="2"/>
      <c r="AK156" s="8"/>
      <c r="AL156" s="8"/>
    </row>
    <row r="157" spans="1:40" s="12" customFormat="1" ht="110.25" customHeight="1" x14ac:dyDescent="2.35">
      <c r="B157" s="13" t="s">
        <v>171</v>
      </c>
      <c r="C157" s="14">
        <v>0</v>
      </c>
      <c r="D157" s="14">
        <v>0</v>
      </c>
      <c r="E157" s="14">
        <v>0</v>
      </c>
      <c r="F157" s="14">
        <v>0</v>
      </c>
      <c r="G157" s="14">
        <v>0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12">
        <v>0</v>
      </c>
      <c r="Y157" s="14">
        <f t="shared" ref="Y157:Y162" si="43">SUM(C157,E157,G157,I157,K157,,M157,O157,Q157,S157,U157,W157)</f>
        <v>0</v>
      </c>
      <c r="Z157" s="14">
        <f t="shared" ref="Z157:Z162" si="44">SUM(D157,F157,H157,J157,L157,,N157,P157,R157,T157,V157)</f>
        <v>0</v>
      </c>
      <c r="AA157" s="13" t="s">
        <v>172</v>
      </c>
      <c r="AB157" s="154">
        <f>SUM(Y157:Y162)</f>
        <v>0</v>
      </c>
      <c r="AC157" s="155"/>
      <c r="AD157" s="16">
        <f>X157</f>
        <v>0</v>
      </c>
      <c r="AE157" s="17"/>
      <c r="AF157" s="2"/>
      <c r="AG157" s="2"/>
      <c r="AH157" s="2"/>
      <c r="AI157" s="2"/>
      <c r="AJ157" s="2"/>
      <c r="AK157" s="8"/>
      <c r="AL157" s="8"/>
    </row>
    <row r="158" spans="1:40" s="12" customFormat="1" ht="110.25" customHeight="1" x14ac:dyDescent="2.35">
      <c r="B158" s="13" t="s">
        <v>173</v>
      </c>
      <c r="C158" s="14">
        <v>0</v>
      </c>
      <c r="D158" s="14">
        <v>0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12">
        <v>0</v>
      </c>
      <c r="Y158" s="14">
        <f t="shared" si="43"/>
        <v>0</v>
      </c>
      <c r="Z158" s="14">
        <f t="shared" si="44"/>
        <v>0</v>
      </c>
      <c r="AA158" s="13" t="s">
        <v>173</v>
      </c>
      <c r="AB158" s="156"/>
      <c r="AC158" s="157"/>
      <c r="AD158" s="16">
        <f t="shared" ref="AD158:AD162" si="45">X158</f>
        <v>0</v>
      </c>
      <c r="AE158" s="17"/>
      <c r="AF158" s="2"/>
      <c r="AG158" s="2"/>
      <c r="AH158" s="2"/>
      <c r="AI158" s="2"/>
      <c r="AJ158" s="2"/>
      <c r="AK158" s="8"/>
      <c r="AL158" s="8"/>
    </row>
    <row r="159" spans="1:40" s="12" customFormat="1" ht="110.25" customHeight="1" x14ac:dyDescent="2.35">
      <c r="B159" s="13" t="s">
        <v>174</v>
      </c>
      <c r="C159" s="14">
        <v>0</v>
      </c>
      <c r="D159" s="14">
        <v>0</v>
      </c>
      <c r="E159" s="14">
        <v>0</v>
      </c>
      <c r="F159" s="14">
        <v>0</v>
      </c>
      <c r="G159" s="14">
        <v>0</v>
      </c>
      <c r="H159" s="14">
        <v>0</v>
      </c>
      <c r="I159" s="14">
        <v>0</v>
      </c>
      <c r="J159" s="14">
        <v>0</v>
      </c>
      <c r="K159" s="14">
        <v>0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0</v>
      </c>
      <c r="V159" s="14">
        <v>0</v>
      </c>
      <c r="W159" s="14">
        <v>0</v>
      </c>
      <c r="X159" s="112">
        <v>0</v>
      </c>
      <c r="Y159" s="14">
        <f t="shared" si="43"/>
        <v>0</v>
      </c>
      <c r="Z159" s="14">
        <f t="shared" si="44"/>
        <v>0</v>
      </c>
      <c r="AA159" s="13" t="s">
        <v>174</v>
      </c>
      <c r="AB159" s="156"/>
      <c r="AC159" s="157"/>
      <c r="AD159" s="16">
        <f t="shared" si="45"/>
        <v>0</v>
      </c>
      <c r="AE159" s="17"/>
      <c r="AF159" s="2"/>
      <c r="AG159" s="2"/>
      <c r="AH159" s="2"/>
      <c r="AI159" s="2"/>
      <c r="AJ159" s="2"/>
      <c r="AK159" s="8"/>
      <c r="AL159" s="8"/>
    </row>
    <row r="160" spans="1:40" s="12" customFormat="1" ht="110.25" customHeight="1" x14ac:dyDescent="2.35">
      <c r="B160" s="13" t="s">
        <v>175</v>
      </c>
      <c r="C160" s="14">
        <v>0</v>
      </c>
      <c r="D160" s="14">
        <v>0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12">
        <v>0</v>
      </c>
      <c r="Y160" s="14">
        <f t="shared" si="43"/>
        <v>0</v>
      </c>
      <c r="Z160" s="14">
        <f t="shared" si="44"/>
        <v>0</v>
      </c>
      <c r="AA160" s="13" t="s">
        <v>175</v>
      </c>
      <c r="AB160" s="156"/>
      <c r="AC160" s="157"/>
      <c r="AD160" s="16">
        <f t="shared" si="45"/>
        <v>0</v>
      </c>
      <c r="AE160" s="17"/>
      <c r="AF160" s="2"/>
      <c r="AG160" s="2"/>
      <c r="AH160" s="2"/>
      <c r="AI160" s="2"/>
      <c r="AJ160" s="2"/>
      <c r="AK160" s="8"/>
      <c r="AL160" s="8"/>
    </row>
    <row r="161" spans="2:40" s="12" customFormat="1" ht="110.25" customHeight="1" x14ac:dyDescent="2.35">
      <c r="B161" s="13" t="s">
        <v>176</v>
      </c>
      <c r="C161" s="14">
        <v>0</v>
      </c>
      <c r="D161" s="14">
        <v>0</v>
      </c>
      <c r="E161" s="14">
        <v>0</v>
      </c>
      <c r="F161" s="14">
        <v>0</v>
      </c>
      <c r="G161" s="14">
        <v>0</v>
      </c>
      <c r="H161" s="14">
        <v>0</v>
      </c>
      <c r="I161" s="14">
        <v>0</v>
      </c>
      <c r="J161" s="14">
        <v>0</v>
      </c>
      <c r="K161" s="14">
        <v>0</v>
      </c>
      <c r="L161" s="14">
        <v>0</v>
      </c>
      <c r="M161" s="14">
        <v>0</v>
      </c>
      <c r="N161" s="14">
        <v>0</v>
      </c>
      <c r="O161" s="14">
        <v>0</v>
      </c>
      <c r="P161" s="14">
        <v>0</v>
      </c>
      <c r="Q161" s="14">
        <v>0</v>
      </c>
      <c r="R161" s="14">
        <v>0</v>
      </c>
      <c r="S161" s="14">
        <v>0</v>
      </c>
      <c r="T161" s="14">
        <v>0</v>
      </c>
      <c r="U161" s="14">
        <v>0</v>
      </c>
      <c r="V161" s="14">
        <v>0</v>
      </c>
      <c r="W161" s="14">
        <v>0</v>
      </c>
      <c r="X161" s="112">
        <v>0</v>
      </c>
      <c r="Y161" s="14">
        <f t="shared" si="43"/>
        <v>0</v>
      </c>
      <c r="Z161" s="14">
        <f t="shared" si="44"/>
        <v>0</v>
      </c>
      <c r="AA161" s="13" t="s">
        <v>176</v>
      </c>
      <c r="AB161" s="156"/>
      <c r="AC161" s="157"/>
      <c r="AD161" s="16">
        <f t="shared" si="45"/>
        <v>0</v>
      </c>
      <c r="AE161" s="17"/>
      <c r="AF161" s="2"/>
      <c r="AG161" s="2"/>
      <c r="AH161" s="2"/>
      <c r="AI161" s="2"/>
      <c r="AJ161" s="2"/>
      <c r="AK161" s="8"/>
      <c r="AL161" s="8"/>
    </row>
    <row r="162" spans="2:40" s="12" customFormat="1" ht="110.25" customHeight="1" x14ac:dyDescent="2.35">
      <c r="B162" s="13" t="s">
        <v>177</v>
      </c>
      <c r="C162" s="14">
        <v>0</v>
      </c>
      <c r="D162" s="14">
        <v>0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12">
        <v>0</v>
      </c>
      <c r="Y162" s="14">
        <f t="shared" si="43"/>
        <v>0</v>
      </c>
      <c r="Z162" s="14">
        <f t="shared" si="44"/>
        <v>0</v>
      </c>
      <c r="AA162" s="13" t="s">
        <v>177</v>
      </c>
      <c r="AB162" s="158"/>
      <c r="AC162" s="159"/>
      <c r="AD162" s="16">
        <f t="shared" si="45"/>
        <v>0</v>
      </c>
      <c r="AE162" s="17"/>
      <c r="AF162" s="2"/>
      <c r="AG162" s="2"/>
      <c r="AH162" s="2"/>
      <c r="AI162" s="2"/>
      <c r="AJ162" s="2"/>
      <c r="AK162" s="3"/>
      <c r="AL162" s="3"/>
      <c r="AM162" s="2"/>
      <c r="AN162" s="2"/>
    </row>
    <row r="163" spans="2:40" s="2" customFormat="1" ht="123.75" customHeight="1" thickBot="1" x14ac:dyDescent="2.4">
      <c r="B163" s="79" t="s">
        <v>178</v>
      </c>
      <c r="C163" s="135" t="s">
        <v>2</v>
      </c>
      <c r="D163" s="136"/>
      <c r="E163" s="135" t="s">
        <v>3</v>
      </c>
      <c r="F163" s="136"/>
      <c r="G163" s="135" t="s">
        <v>4</v>
      </c>
      <c r="H163" s="136"/>
      <c r="I163" s="135" t="s">
        <v>5</v>
      </c>
      <c r="J163" s="136"/>
      <c r="K163" s="135" t="s">
        <v>6</v>
      </c>
      <c r="L163" s="136"/>
      <c r="M163" s="135" t="s">
        <v>7</v>
      </c>
      <c r="N163" s="136"/>
      <c r="O163" s="135" t="s">
        <v>8</v>
      </c>
      <c r="P163" s="136"/>
      <c r="Q163" s="135" t="s">
        <v>9</v>
      </c>
      <c r="R163" s="136"/>
      <c r="S163" s="135" t="s">
        <v>10</v>
      </c>
      <c r="T163" s="136"/>
      <c r="U163" s="135" t="s">
        <v>11</v>
      </c>
      <c r="V163" s="136"/>
      <c r="W163" s="9" t="s">
        <v>12</v>
      </c>
      <c r="X163" s="117"/>
      <c r="Y163" s="147" t="s">
        <v>13</v>
      </c>
      <c r="Z163" s="148"/>
      <c r="AA163" s="79" t="s">
        <v>178</v>
      </c>
      <c r="AB163" s="139"/>
      <c r="AC163" s="140"/>
      <c r="AD163" s="6" t="s">
        <v>16</v>
      </c>
      <c r="AE163" s="7"/>
      <c r="AF163" s="93"/>
      <c r="AG163" s="93"/>
      <c r="AK163" s="8"/>
      <c r="AL163" s="8"/>
      <c r="AM163" s="12"/>
      <c r="AN163" s="12"/>
    </row>
    <row r="164" spans="2:40" s="12" customFormat="1" ht="123.75" customHeight="1" x14ac:dyDescent="2.35">
      <c r="B164" s="13" t="s">
        <v>179</v>
      </c>
      <c r="C164" s="19">
        <v>0</v>
      </c>
      <c r="D164" s="20"/>
      <c r="E164" s="19">
        <v>0</v>
      </c>
      <c r="F164" s="20"/>
      <c r="G164" s="19">
        <v>0</v>
      </c>
      <c r="H164" s="20"/>
      <c r="I164" s="19">
        <v>0</v>
      </c>
      <c r="J164" s="20"/>
      <c r="K164" s="19">
        <v>0</v>
      </c>
      <c r="L164" s="20"/>
      <c r="M164" s="19">
        <v>0</v>
      </c>
      <c r="N164" s="20"/>
      <c r="O164" s="19">
        <v>0</v>
      </c>
      <c r="P164" s="20"/>
      <c r="Q164" s="19">
        <v>0</v>
      </c>
      <c r="R164" s="20"/>
      <c r="S164" s="19">
        <v>0</v>
      </c>
      <c r="T164" s="20"/>
      <c r="U164" s="19">
        <v>0</v>
      </c>
      <c r="V164" s="20"/>
      <c r="W164" s="14">
        <v>0</v>
      </c>
      <c r="X164" s="120">
        <v>0</v>
      </c>
      <c r="Y164" s="141">
        <f t="shared" ref="Y164:Y187" si="46">SUM(C164:W164)</f>
        <v>0</v>
      </c>
      <c r="Z164" s="142"/>
      <c r="AA164" s="13" t="s">
        <v>179</v>
      </c>
      <c r="AB164" s="154">
        <f>SUM(Y164:Y171)</f>
        <v>0</v>
      </c>
      <c r="AC164" s="155"/>
      <c r="AD164" s="16">
        <f>X164</f>
        <v>0</v>
      </c>
      <c r="AE164" s="94"/>
      <c r="AF164" s="160" t="s">
        <v>180</v>
      </c>
      <c r="AG164" s="161"/>
      <c r="AH164" s="161"/>
      <c r="AI164" s="161"/>
      <c r="AJ164" s="162"/>
      <c r="AK164" s="8"/>
      <c r="AL164" s="8"/>
    </row>
    <row r="165" spans="2:40" s="12" customFormat="1" ht="123.75" customHeight="1" x14ac:dyDescent="2.35">
      <c r="B165" s="13" t="s">
        <v>181</v>
      </c>
      <c r="C165" s="19">
        <v>0</v>
      </c>
      <c r="D165" s="20"/>
      <c r="E165" s="19">
        <v>0</v>
      </c>
      <c r="F165" s="20"/>
      <c r="G165" s="19">
        <v>0</v>
      </c>
      <c r="H165" s="20"/>
      <c r="I165" s="19">
        <v>0</v>
      </c>
      <c r="J165" s="20"/>
      <c r="K165" s="19">
        <v>0</v>
      </c>
      <c r="L165" s="20"/>
      <c r="M165" s="19">
        <v>0</v>
      </c>
      <c r="N165" s="20"/>
      <c r="O165" s="19">
        <v>0</v>
      </c>
      <c r="P165" s="20"/>
      <c r="Q165" s="19">
        <v>0</v>
      </c>
      <c r="R165" s="20"/>
      <c r="S165" s="19">
        <v>0</v>
      </c>
      <c r="T165" s="20"/>
      <c r="U165" s="19">
        <v>0</v>
      </c>
      <c r="V165" s="20"/>
      <c r="W165" s="14">
        <v>0</v>
      </c>
      <c r="X165" s="120">
        <v>0</v>
      </c>
      <c r="Y165" s="141">
        <f t="shared" si="46"/>
        <v>0</v>
      </c>
      <c r="Z165" s="142"/>
      <c r="AA165" s="13" t="s">
        <v>181</v>
      </c>
      <c r="AB165" s="156"/>
      <c r="AC165" s="157"/>
      <c r="AD165" s="16">
        <f t="shared" ref="AD165:AD170" si="47">X165</f>
        <v>0</v>
      </c>
      <c r="AE165" s="94"/>
      <c r="AF165" s="163"/>
      <c r="AG165" s="164"/>
      <c r="AH165" s="164"/>
      <c r="AI165" s="164"/>
      <c r="AJ165" s="165"/>
      <c r="AK165" s="8"/>
      <c r="AL165" s="8"/>
    </row>
    <row r="166" spans="2:40" s="12" customFormat="1" ht="123.75" customHeight="1" x14ac:dyDescent="2.35">
      <c r="B166" s="13" t="s">
        <v>182</v>
      </c>
      <c r="C166" s="19">
        <v>0</v>
      </c>
      <c r="D166" s="20"/>
      <c r="E166" s="19">
        <v>0</v>
      </c>
      <c r="F166" s="20"/>
      <c r="G166" s="19">
        <v>0</v>
      </c>
      <c r="H166" s="20"/>
      <c r="I166" s="19">
        <v>0</v>
      </c>
      <c r="J166" s="20"/>
      <c r="K166" s="19">
        <v>0</v>
      </c>
      <c r="L166" s="20"/>
      <c r="M166" s="19">
        <v>0</v>
      </c>
      <c r="N166" s="20"/>
      <c r="O166" s="19">
        <v>0</v>
      </c>
      <c r="P166" s="20"/>
      <c r="Q166" s="19">
        <v>0</v>
      </c>
      <c r="R166" s="20"/>
      <c r="S166" s="19">
        <v>0</v>
      </c>
      <c r="T166" s="20"/>
      <c r="U166" s="19">
        <v>0</v>
      </c>
      <c r="V166" s="20"/>
      <c r="W166" s="14">
        <v>0</v>
      </c>
      <c r="X166" s="120">
        <v>0</v>
      </c>
      <c r="Y166" s="141">
        <f t="shared" si="46"/>
        <v>0</v>
      </c>
      <c r="Z166" s="142"/>
      <c r="AA166" s="13" t="s">
        <v>182</v>
      </c>
      <c r="AB166" s="156"/>
      <c r="AC166" s="157"/>
      <c r="AD166" s="16">
        <f t="shared" si="47"/>
        <v>0</v>
      </c>
      <c r="AE166" s="94"/>
      <c r="AF166" s="163"/>
      <c r="AG166" s="164"/>
      <c r="AH166" s="164"/>
      <c r="AI166" s="164"/>
      <c r="AJ166" s="165"/>
      <c r="AK166" s="8"/>
      <c r="AL166" s="8"/>
    </row>
    <row r="167" spans="2:40" s="12" customFormat="1" ht="123.75" customHeight="1" x14ac:dyDescent="2.35">
      <c r="B167" s="13" t="s">
        <v>183</v>
      </c>
      <c r="C167" s="19">
        <v>0</v>
      </c>
      <c r="D167" s="20"/>
      <c r="E167" s="19">
        <v>0</v>
      </c>
      <c r="F167" s="20"/>
      <c r="G167" s="19">
        <v>0</v>
      </c>
      <c r="H167" s="20"/>
      <c r="I167" s="19">
        <v>0</v>
      </c>
      <c r="J167" s="20"/>
      <c r="K167" s="19">
        <v>0</v>
      </c>
      <c r="L167" s="20"/>
      <c r="M167" s="19">
        <v>0</v>
      </c>
      <c r="N167" s="20"/>
      <c r="O167" s="19">
        <v>0</v>
      </c>
      <c r="P167" s="20"/>
      <c r="Q167" s="19">
        <v>0</v>
      </c>
      <c r="R167" s="20"/>
      <c r="S167" s="19">
        <v>0</v>
      </c>
      <c r="T167" s="20"/>
      <c r="U167" s="19">
        <v>0</v>
      </c>
      <c r="V167" s="20"/>
      <c r="W167" s="14">
        <v>0</v>
      </c>
      <c r="X167" s="120">
        <v>0</v>
      </c>
      <c r="Y167" s="141">
        <f t="shared" si="46"/>
        <v>0</v>
      </c>
      <c r="Z167" s="142"/>
      <c r="AA167" s="13" t="s">
        <v>183</v>
      </c>
      <c r="AB167" s="156"/>
      <c r="AC167" s="157"/>
      <c r="AD167" s="16">
        <f t="shared" si="47"/>
        <v>0</v>
      </c>
      <c r="AE167" s="94"/>
      <c r="AF167" s="163"/>
      <c r="AG167" s="164"/>
      <c r="AH167" s="164"/>
      <c r="AI167" s="164"/>
      <c r="AJ167" s="165"/>
      <c r="AK167" s="8"/>
      <c r="AL167" s="8"/>
    </row>
    <row r="168" spans="2:40" s="12" customFormat="1" ht="123.75" customHeight="1" x14ac:dyDescent="2.35">
      <c r="B168" s="13" t="s">
        <v>184</v>
      </c>
      <c r="C168" s="19">
        <v>0</v>
      </c>
      <c r="D168" s="20"/>
      <c r="E168" s="19">
        <v>0</v>
      </c>
      <c r="F168" s="20"/>
      <c r="G168" s="19">
        <v>0</v>
      </c>
      <c r="H168" s="20"/>
      <c r="I168" s="19">
        <v>0</v>
      </c>
      <c r="J168" s="20"/>
      <c r="K168" s="19">
        <v>0</v>
      </c>
      <c r="L168" s="20"/>
      <c r="M168" s="19">
        <v>0</v>
      </c>
      <c r="N168" s="20"/>
      <c r="O168" s="19">
        <v>0</v>
      </c>
      <c r="P168" s="20"/>
      <c r="Q168" s="19">
        <v>0</v>
      </c>
      <c r="R168" s="20"/>
      <c r="S168" s="19">
        <v>0</v>
      </c>
      <c r="T168" s="20"/>
      <c r="U168" s="19">
        <v>0</v>
      </c>
      <c r="V168" s="20"/>
      <c r="W168" s="14">
        <v>0</v>
      </c>
      <c r="X168" s="120">
        <v>0</v>
      </c>
      <c r="Y168" s="141">
        <f t="shared" si="46"/>
        <v>0</v>
      </c>
      <c r="Z168" s="142"/>
      <c r="AA168" s="13" t="s">
        <v>184</v>
      </c>
      <c r="AB168" s="156"/>
      <c r="AC168" s="157"/>
      <c r="AD168" s="16">
        <f t="shared" si="47"/>
        <v>0</v>
      </c>
      <c r="AE168" s="94"/>
      <c r="AF168" s="166">
        <f>SUM(AD164:AD171)</f>
        <v>0</v>
      </c>
      <c r="AG168" s="164"/>
      <c r="AH168" s="164"/>
      <c r="AI168" s="164"/>
      <c r="AJ168" s="165"/>
      <c r="AK168" s="8"/>
      <c r="AL168" s="8"/>
    </row>
    <row r="169" spans="2:40" s="12" customFormat="1" ht="123.75" customHeight="1" x14ac:dyDescent="2.35">
      <c r="B169" s="13" t="s">
        <v>185</v>
      </c>
      <c r="C169" s="19">
        <v>0</v>
      </c>
      <c r="D169" s="20"/>
      <c r="E169" s="19">
        <v>0</v>
      </c>
      <c r="F169" s="20"/>
      <c r="G169" s="19">
        <v>0</v>
      </c>
      <c r="H169" s="20"/>
      <c r="I169" s="19">
        <v>0</v>
      </c>
      <c r="J169" s="20"/>
      <c r="K169" s="19">
        <v>0</v>
      </c>
      <c r="L169" s="20"/>
      <c r="M169" s="19">
        <v>0</v>
      </c>
      <c r="N169" s="20"/>
      <c r="O169" s="19">
        <v>0</v>
      </c>
      <c r="P169" s="20"/>
      <c r="Q169" s="19">
        <v>0</v>
      </c>
      <c r="R169" s="20"/>
      <c r="S169" s="19">
        <v>0</v>
      </c>
      <c r="T169" s="20"/>
      <c r="U169" s="19">
        <v>0</v>
      </c>
      <c r="V169" s="20"/>
      <c r="W169" s="14">
        <v>0</v>
      </c>
      <c r="X169" s="120">
        <v>0</v>
      </c>
      <c r="Y169" s="141">
        <f t="shared" si="46"/>
        <v>0</v>
      </c>
      <c r="Z169" s="142"/>
      <c r="AA169" s="13" t="s">
        <v>185</v>
      </c>
      <c r="AB169" s="156"/>
      <c r="AC169" s="157"/>
      <c r="AD169" s="16">
        <f t="shared" si="47"/>
        <v>0</v>
      </c>
      <c r="AE169" s="94"/>
      <c r="AF169" s="26"/>
      <c r="AG169" s="27"/>
      <c r="AH169" s="27"/>
      <c r="AI169" s="27"/>
      <c r="AJ169" s="28"/>
      <c r="AK169" s="8"/>
      <c r="AL169" s="8"/>
    </row>
    <row r="170" spans="2:40" s="12" customFormat="1" ht="123.75" customHeight="1" thickBot="1" x14ac:dyDescent="2.4">
      <c r="B170" s="13" t="s">
        <v>186</v>
      </c>
      <c r="C170" s="19">
        <v>0</v>
      </c>
      <c r="D170" s="20"/>
      <c r="E170" s="19">
        <v>0</v>
      </c>
      <c r="F170" s="20"/>
      <c r="G170" s="19">
        <v>0</v>
      </c>
      <c r="H170" s="20"/>
      <c r="I170" s="19">
        <v>0</v>
      </c>
      <c r="J170" s="20"/>
      <c r="K170" s="19">
        <v>0</v>
      </c>
      <c r="L170" s="20"/>
      <c r="M170" s="19">
        <v>0</v>
      </c>
      <c r="N170" s="20"/>
      <c r="O170" s="19">
        <v>0</v>
      </c>
      <c r="P170" s="20"/>
      <c r="Q170" s="19">
        <v>0</v>
      </c>
      <c r="R170" s="20"/>
      <c r="S170" s="19">
        <v>0</v>
      </c>
      <c r="T170" s="20"/>
      <c r="U170" s="19">
        <v>0</v>
      </c>
      <c r="V170" s="20"/>
      <c r="W170" s="14">
        <v>0</v>
      </c>
      <c r="X170" s="120">
        <v>0</v>
      </c>
      <c r="Y170" s="141">
        <f t="shared" si="46"/>
        <v>0</v>
      </c>
      <c r="Z170" s="142"/>
      <c r="AA170" s="13" t="s">
        <v>186</v>
      </c>
      <c r="AB170" s="156"/>
      <c r="AC170" s="157"/>
      <c r="AD170" s="16">
        <f t="shared" si="47"/>
        <v>0</v>
      </c>
      <c r="AE170" s="94"/>
      <c r="AF170" s="83"/>
      <c r="AG170" s="84"/>
      <c r="AH170" s="84"/>
      <c r="AI170" s="84"/>
      <c r="AJ170" s="85"/>
      <c r="AK170" s="8"/>
      <c r="AL170" s="8"/>
    </row>
    <row r="171" spans="2:40" s="12" customFormat="1" ht="123.75" customHeight="1" x14ac:dyDescent="2.35">
      <c r="B171" s="13" t="s">
        <v>187</v>
      </c>
      <c r="C171" s="19">
        <v>0</v>
      </c>
      <c r="D171" s="20"/>
      <c r="E171" s="19">
        <v>0</v>
      </c>
      <c r="F171" s="20"/>
      <c r="G171" s="19">
        <v>0</v>
      </c>
      <c r="H171" s="20"/>
      <c r="I171" s="19">
        <v>0</v>
      </c>
      <c r="J171" s="20"/>
      <c r="K171" s="19">
        <v>0</v>
      </c>
      <c r="L171" s="20"/>
      <c r="M171" s="19">
        <v>0</v>
      </c>
      <c r="N171" s="20"/>
      <c r="O171" s="19">
        <v>0</v>
      </c>
      <c r="P171" s="20"/>
      <c r="Q171" s="19">
        <v>0</v>
      </c>
      <c r="R171" s="20"/>
      <c r="S171" s="19">
        <v>0</v>
      </c>
      <c r="T171" s="20"/>
      <c r="U171" s="19">
        <v>0</v>
      </c>
      <c r="V171" s="20"/>
      <c r="W171" s="14">
        <v>0</v>
      </c>
      <c r="X171" s="120">
        <v>0</v>
      </c>
      <c r="Y171" s="141">
        <f t="shared" si="46"/>
        <v>0</v>
      </c>
      <c r="Z171" s="142"/>
      <c r="AA171" s="13" t="s">
        <v>187</v>
      </c>
      <c r="AB171" s="158"/>
      <c r="AC171" s="159"/>
      <c r="AD171" s="16">
        <f>X171</f>
        <v>0</v>
      </c>
      <c r="AE171" s="94"/>
      <c r="AF171" s="24"/>
      <c r="AG171" s="24"/>
      <c r="AH171" s="24"/>
      <c r="AI171" s="24"/>
      <c r="AJ171" s="24"/>
      <c r="AK171" s="8"/>
      <c r="AL171" s="8"/>
    </row>
    <row r="172" spans="2:40" ht="123.75" customHeight="1" x14ac:dyDescent="2.35">
      <c r="B172" s="86" t="s">
        <v>188</v>
      </c>
      <c r="C172" s="95">
        <f>SUM(C164:C171)</f>
        <v>0</v>
      </c>
      <c r="D172" s="96"/>
      <c r="E172" s="95">
        <f t="shared" ref="E172:W172" si="48">SUM(E164:E171)</f>
        <v>0</v>
      </c>
      <c r="F172" s="96"/>
      <c r="G172" s="95">
        <f t="shared" si="48"/>
        <v>0</v>
      </c>
      <c r="H172" s="96"/>
      <c r="I172" s="95">
        <f t="shared" si="48"/>
        <v>0</v>
      </c>
      <c r="J172" s="96"/>
      <c r="K172" s="95">
        <f t="shared" si="48"/>
        <v>0</v>
      </c>
      <c r="L172" s="96"/>
      <c r="M172" s="95">
        <f t="shared" si="48"/>
        <v>0</v>
      </c>
      <c r="N172" s="96"/>
      <c r="O172" s="95">
        <f t="shared" si="48"/>
        <v>0</v>
      </c>
      <c r="P172" s="96"/>
      <c r="Q172" s="95">
        <f t="shared" si="48"/>
        <v>0</v>
      </c>
      <c r="R172" s="96"/>
      <c r="S172" s="95">
        <f t="shared" si="48"/>
        <v>0</v>
      </c>
      <c r="T172" s="96"/>
      <c r="U172" s="95">
        <f t="shared" si="48"/>
        <v>0</v>
      </c>
      <c r="V172" s="96"/>
      <c r="W172" s="97">
        <f t="shared" si="48"/>
        <v>0</v>
      </c>
      <c r="X172" s="121"/>
      <c r="Y172" s="147">
        <f t="shared" si="46"/>
        <v>0</v>
      </c>
      <c r="Z172" s="148"/>
      <c r="AA172" s="86" t="s">
        <v>189</v>
      </c>
      <c r="AB172" s="152"/>
      <c r="AC172" s="153"/>
      <c r="AD172" s="6" t="s">
        <v>16</v>
      </c>
      <c r="AE172" s="7"/>
    </row>
    <row r="173" spans="2:40" s="12" customFormat="1" ht="123.75" customHeight="1" x14ac:dyDescent="2.35">
      <c r="B173" s="13" t="s">
        <v>190</v>
      </c>
      <c r="C173" s="19">
        <v>0</v>
      </c>
      <c r="D173" s="20"/>
      <c r="E173" s="19">
        <v>0</v>
      </c>
      <c r="F173" s="20"/>
      <c r="G173" s="19">
        <v>0</v>
      </c>
      <c r="H173" s="20"/>
      <c r="I173" s="19">
        <v>0</v>
      </c>
      <c r="J173" s="20"/>
      <c r="K173" s="19">
        <v>0</v>
      </c>
      <c r="L173" s="20"/>
      <c r="M173" s="19">
        <v>0</v>
      </c>
      <c r="N173" s="20"/>
      <c r="O173" s="19">
        <v>0</v>
      </c>
      <c r="P173" s="20"/>
      <c r="Q173" s="19">
        <v>0</v>
      </c>
      <c r="R173" s="20"/>
      <c r="S173" s="19">
        <v>0</v>
      </c>
      <c r="T173" s="20"/>
      <c r="U173" s="19">
        <v>0</v>
      </c>
      <c r="V173" s="20"/>
      <c r="W173" s="14">
        <v>0</v>
      </c>
      <c r="X173" s="120">
        <v>0</v>
      </c>
      <c r="Y173" s="141">
        <f t="shared" si="46"/>
        <v>0</v>
      </c>
      <c r="Z173" s="142"/>
      <c r="AA173" s="13" t="s">
        <v>190</v>
      </c>
      <c r="AB173" s="149"/>
      <c r="AC173" s="150"/>
      <c r="AD173" s="16">
        <f>X173</f>
        <v>0</v>
      </c>
      <c r="AE173" s="98"/>
      <c r="AF173" s="99"/>
      <c r="AG173" s="99"/>
      <c r="AH173" s="99"/>
      <c r="AI173" s="99"/>
      <c r="AJ173" s="99"/>
      <c r="AK173" s="8"/>
      <c r="AL173" s="8"/>
    </row>
    <row r="174" spans="2:40" s="12" customFormat="1" ht="123.75" customHeight="1" x14ac:dyDescent="2.35">
      <c r="B174" s="13" t="s">
        <v>191</v>
      </c>
      <c r="C174" s="19">
        <v>0</v>
      </c>
      <c r="D174" s="20"/>
      <c r="E174" s="19">
        <v>0</v>
      </c>
      <c r="F174" s="20"/>
      <c r="G174" s="19">
        <v>0</v>
      </c>
      <c r="H174" s="20"/>
      <c r="I174" s="19">
        <v>0</v>
      </c>
      <c r="J174" s="20"/>
      <c r="K174" s="19">
        <v>0</v>
      </c>
      <c r="L174" s="20"/>
      <c r="M174" s="19">
        <v>0</v>
      </c>
      <c r="N174" s="20"/>
      <c r="O174" s="19">
        <v>0</v>
      </c>
      <c r="P174" s="20"/>
      <c r="Q174" s="19">
        <v>0</v>
      </c>
      <c r="R174" s="20"/>
      <c r="S174" s="19">
        <v>0</v>
      </c>
      <c r="T174" s="20"/>
      <c r="U174" s="19">
        <v>0</v>
      </c>
      <c r="V174" s="20"/>
      <c r="W174" s="14">
        <v>0</v>
      </c>
      <c r="X174" s="120">
        <v>0</v>
      </c>
      <c r="Y174" s="141">
        <f t="shared" si="46"/>
        <v>0</v>
      </c>
      <c r="Z174" s="142"/>
      <c r="AA174" s="13" t="s">
        <v>191</v>
      </c>
      <c r="AB174" s="149"/>
      <c r="AC174" s="150"/>
      <c r="AD174" s="16">
        <f>X174</f>
        <v>0</v>
      </c>
      <c r="AE174" s="98"/>
      <c r="AF174" s="99"/>
      <c r="AG174" s="99"/>
      <c r="AH174" s="99"/>
      <c r="AI174" s="99"/>
      <c r="AJ174" s="99"/>
      <c r="AK174" s="8"/>
      <c r="AL174" s="8"/>
    </row>
    <row r="175" spans="2:40" s="12" customFormat="1" ht="123.75" customHeight="1" x14ac:dyDescent="2.35">
      <c r="B175" s="13" t="s">
        <v>192</v>
      </c>
      <c r="C175" s="19">
        <v>0</v>
      </c>
      <c r="D175" s="20"/>
      <c r="E175" s="19">
        <v>0</v>
      </c>
      <c r="F175" s="20"/>
      <c r="G175" s="19">
        <v>0</v>
      </c>
      <c r="H175" s="20"/>
      <c r="I175" s="19">
        <v>0</v>
      </c>
      <c r="J175" s="20"/>
      <c r="K175" s="19">
        <v>0</v>
      </c>
      <c r="L175" s="20"/>
      <c r="M175" s="19">
        <v>0</v>
      </c>
      <c r="N175" s="20"/>
      <c r="O175" s="19">
        <v>0</v>
      </c>
      <c r="P175" s="20"/>
      <c r="Q175" s="19">
        <v>0</v>
      </c>
      <c r="R175" s="20"/>
      <c r="S175" s="19">
        <v>0</v>
      </c>
      <c r="T175" s="20"/>
      <c r="U175" s="19">
        <v>0</v>
      </c>
      <c r="V175" s="20"/>
      <c r="W175" s="14">
        <v>0</v>
      </c>
      <c r="X175" s="120">
        <v>0</v>
      </c>
      <c r="Y175" s="141">
        <f t="shared" si="46"/>
        <v>0</v>
      </c>
      <c r="Z175" s="142"/>
      <c r="AA175" s="13" t="s">
        <v>192</v>
      </c>
      <c r="AB175" s="149"/>
      <c r="AC175" s="150"/>
      <c r="AD175" s="16">
        <f>X175</f>
        <v>0</v>
      </c>
      <c r="AE175" s="98"/>
      <c r="AF175" s="99"/>
      <c r="AG175" s="99"/>
      <c r="AH175" s="99"/>
      <c r="AI175" s="99"/>
      <c r="AJ175" s="99"/>
      <c r="AK175" s="8"/>
      <c r="AL175" s="8"/>
    </row>
    <row r="176" spans="2:40" s="12" customFormat="1" ht="123.75" customHeight="1" x14ac:dyDescent="2.35">
      <c r="B176" s="13" t="s">
        <v>193</v>
      </c>
      <c r="C176" s="19">
        <v>0</v>
      </c>
      <c r="D176" s="20"/>
      <c r="E176" s="19">
        <v>0</v>
      </c>
      <c r="F176" s="20"/>
      <c r="G176" s="19">
        <v>0</v>
      </c>
      <c r="H176" s="20"/>
      <c r="I176" s="19">
        <v>0</v>
      </c>
      <c r="J176" s="20"/>
      <c r="K176" s="19">
        <v>0</v>
      </c>
      <c r="L176" s="20"/>
      <c r="M176" s="19">
        <v>0</v>
      </c>
      <c r="N176" s="20"/>
      <c r="O176" s="19">
        <v>0</v>
      </c>
      <c r="P176" s="20"/>
      <c r="Q176" s="19">
        <v>0</v>
      </c>
      <c r="R176" s="20"/>
      <c r="S176" s="19">
        <v>0</v>
      </c>
      <c r="T176" s="20"/>
      <c r="U176" s="19">
        <v>0</v>
      </c>
      <c r="V176" s="20"/>
      <c r="W176" s="14">
        <v>0</v>
      </c>
      <c r="X176" s="120">
        <v>0</v>
      </c>
      <c r="Y176" s="141">
        <f t="shared" si="46"/>
        <v>0</v>
      </c>
      <c r="Z176" s="142"/>
      <c r="AA176" s="13" t="s">
        <v>193</v>
      </c>
      <c r="AB176" s="149"/>
      <c r="AC176" s="150"/>
      <c r="AD176" s="16">
        <f t="shared" ref="AD176:AD187" si="49">X176</f>
        <v>0</v>
      </c>
      <c r="AE176" s="98"/>
      <c r="AF176" s="99"/>
      <c r="AG176" s="99"/>
      <c r="AH176" s="99"/>
      <c r="AI176" s="99"/>
      <c r="AJ176" s="99"/>
      <c r="AK176" s="8"/>
      <c r="AL176" s="8"/>
    </row>
    <row r="177" spans="2:40" s="12" customFormat="1" ht="123.75" customHeight="1" x14ac:dyDescent="2.35">
      <c r="B177" s="13" t="s">
        <v>194</v>
      </c>
      <c r="C177" s="19">
        <v>0</v>
      </c>
      <c r="D177" s="20"/>
      <c r="E177" s="19">
        <v>0</v>
      </c>
      <c r="F177" s="20"/>
      <c r="G177" s="19">
        <v>0</v>
      </c>
      <c r="H177" s="20"/>
      <c r="I177" s="19">
        <v>0</v>
      </c>
      <c r="J177" s="20"/>
      <c r="K177" s="19">
        <v>0</v>
      </c>
      <c r="L177" s="20"/>
      <c r="M177" s="19">
        <v>0</v>
      </c>
      <c r="N177" s="20"/>
      <c r="O177" s="19">
        <v>0</v>
      </c>
      <c r="P177" s="20"/>
      <c r="Q177" s="19">
        <v>0</v>
      </c>
      <c r="R177" s="20"/>
      <c r="S177" s="19">
        <v>0</v>
      </c>
      <c r="T177" s="20"/>
      <c r="U177" s="19">
        <v>0</v>
      </c>
      <c r="V177" s="20"/>
      <c r="W177" s="14">
        <v>0</v>
      </c>
      <c r="X177" s="120">
        <v>0</v>
      </c>
      <c r="Y177" s="141">
        <f t="shared" si="46"/>
        <v>0</v>
      </c>
      <c r="Z177" s="142"/>
      <c r="AA177" s="13" t="s">
        <v>194</v>
      </c>
      <c r="AB177" s="149"/>
      <c r="AC177" s="150"/>
      <c r="AD177" s="16">
        <f t="shared" si="49"/>
        <v>0</v>
      </c>
      <c r="AE177" s="98"/>
      <c r="AF177" s="99"/>
      <c r="AG177" s="99"/>
      <c r="AH177" s="99"/>
      <c r="AI177" s="99"/>
      <c r="AJ177" s="99"/>
      <c r="AK177" s="8"/>
      <c r="AL177" s="8"/>
    </row>
    <row r="178" spans="2:40" s="12" customFormat="1" ht="123.75" customHeight="1" x14ac:dyDescent="2.35">
      <c r="B178" s="13" t="s">
        <v>195</v>
      </c>
      <c r="C178" s="19">
        <v>0</v>
      </c>
      <c r="D178" s="20"/>
      <c r="E178" s="19">
        <v>0</v>
      </c>
      <c r="F178" s="20"/>
      <c r="G178" s="19">
        <v>0</v>
      </c>
      <c r="H178" s="20"/>
      <c r="I178" s="19">
        <v>0</v>
      </c>
      <c r="J178" s="20"/>
      <c r="K178" s="19">
        <v>0</v>
      </c>
      <c r="L178" s="20"/>
      <c r="M178" s="19">
        <v>0</v>
      </c>
      <c r="N178" s="20"/>
      <c r="O178" s="19">
        <v>0</v>
      </c>
      <c r="P178" s="20"/>
      <c r="Q178" s="19">
        <v>0</v>
      </c>
      <c r="R178" s="20"/>
      <c r="S178" s="19">
        <v>0</v>
      </c>
      <c r="T178" s="20"/>
      <c r="U178" s="19">
        <v>0</v>
      </c>
      <c r="V178" s="20"/>
      <c r="W178" s="14">
        <v>0</v>
      </c>
      <c r="X178" s="120">
        <v>0</v>
      </c>
      <c r="Y178" s="141">
        <f t="shared" si="46"/>
        <v>0</v>
      </c>
      <c r="Z178" s="142"/>
      <c r="AA178" s="13" t="s">
        <v>195</v>
      </c>
      <c r="AB178" s="149"/>
      <c r="AC178" s="150"/>
      <c r="AD178" s="16">
        <f t="shared" si="49"/>
        <v>0</v>
      </c>
      <c r="AE178" s="98"/>
      <c r="AF178" s="99"/>
      <c r="AG178" s="151"/>
      <c r="AH178" s="151"/>
      <c r="AI178" s="151"/>
      <c r="AJ178" s="99"/>
      <c r="AK178" s="8"/>
      <c r="AL178" s="8"/>
    </row>
    <row r="179" spans="2:40" s="12" customFormat="1" ht="127.5" customHeight="1" x14ac:dyDescent="2.35">
      <c r="B179" s="13" t="s">
        <v>196</v>
      </c>
      <c r="C179" s="19">
        <v>0</v>
      </c>
      <c r="D179" s="20"/>
      <c r="E179" s="19">
        <v>0</v>
      </c>
      <c r="F179" s="20"/>
      <c r="G179" s="19">
        <v>0</v>
      </c>
      <c r="H179" s="20"/>
      <c r="I179" s="19">
        <v>0</v>
      </c>
      <c r="J179" s="20"/>
      <c r="K179" s="19">
        <v>0</v>
      </c>
      <c r="L179" s="20"/>
      <c r="M179" s="19">
        <v>0</v>
      </c>
      <c r="N179" s="20"/>
      <c r="O179" s="19">
        <v>0</v>
      </c>
      <c r="P179" s="20"/>
      <c r="Q179" s="19">
        <v>0</v>
      </c>
      <c r="R179" s="20"/>
      <c r="S179" s="19">
        <v>0</v>
      </c>
      <c r="T179" s="20"/>
      <c r="U179" s="19">
        <v>0</v>
      </c>
      <c r="V179" s="20"/>
      <c r="W179" s="14">
        <v>0</v>
      </c>
      <c r="X179" s="120">
        <v>0</v>
      </c>
      <c r="Y179" s="141">
        <f t="shared" si="46"/>
        <v>0</v>
      </c>
      <c r="Z179" s="142"/>
      <c r="AA179" s="13" t="s">
        <v>196</v>
      </c>
      <c r="AB179" s="149"/>
      <c r="AC179" s="150"/>
      <c r="AD179" s="16">
        <f t="shared" si="49"/>
        <v>0</v>
      </c>
      <c r="AE179" s="98"/>
      <c r="AF179" s="99"/>
      <c r="AG179" s="99"/>
      <c r="AH179" s="99"/>
      <c r="AI179" s="99"/>
      <c r="AJ179" s="99"/>
      <c r="AK179" s="8"/>
      <c r="AL179" s="8"/>
    </row>
    <row r="180" spans="2:40" s="12" customFormat="1" ht="135" customHeight="1" x14ac:dyDescent="2.35">
      <c r="B180" s="13" t="s">
        <v>197</v>
      </c>
      <c r="C180" s="19">
        <v>0</v>
      </c>
      <c r="D180" s="20"/>
      <c r="E180" s="19">
        <v>0</v>
      </c>
      <c r="F180" s="20"/>
      <c r="G180" s="19">
        <v>0</v>
      </c>
      <c r="H180" s="20"/>
      <c r="I180" s="19">
        <v>0</v>
      </c>
      <c r="J180" s="20"/>
      <c r="K180" s="19">
        <v>0</v>
      </c>
      <c r="L180" s="20"/>
      <c r="M180" s="19">
        <v>0</v>
      </c>
      <c r="N180" s="20"/>
      <c r="O180" s="19">
        <v>0</v>
      </c>
      <c r="P180" s="20"/>
      <c r="Q180" s="19">
        <v>0</v>
      </c>
      <c r="R180" s="20"/>
      <c r="S180" s="19">
        <v>0</v>
      </c>
      <c r="T180" s="20"/>
      <c r="U180" s="19">
        <v>0</v>
      </c>
      <c r="V180" s="20"/>
      <c r="W180" s="14">
        <v>0</v>
      </c>
      <c r="X180" s="120">
        <v>0</v>
      </c>
      <c r="Y180" s="141">
        <f t="shared" si="46"/>
        <v>0</v>
      </c>
      <c r="Z180" s="142"/>
      <c r="AA180" s="13" t="s">
        <v>197</v>
      </c>
      <c r="AB180" s="149"/>
      <c r="AC180" s="150"/>
      <c r="AD180" s="16">
        <f t="shared" si="49"/>
        <v>0</v>
      </c>
      <c r="AE180" s="98"/>
      <c r="AF180" s="99"/>
      <c r="AG180" s="99"/>
      <c r="AH180" s="99"/>
      <c r="AI180" s="99"/>
      <c r="AJ180" s="99"/>
      <c r="AK180" s="8"/>
      <c r="AL180" s="8"/>
    </row>
    <row r="181" spans="2:40" s="12" customFormat="1" ht="123.75" customHeight="1" x14ac:dyDescent="2.35">
      <c r="B181" s="13" t="s">
        <v>198</v>
      </c>
      <c r="C181" s="19">
        <v>0</v>
      </c>
      <c r="D181" s="20"/>
      <c r="E181" s="19">
        <v>0</v>
      </c>
      <c r="F181" s="20"/>
      <c r="G181" s="19">
        <v>0</v>
      </c>
      <c r="H181" s="20"/>
      <c r="I181" s="19">
        <v>0</v>
      </c>
      <c r="J181" s="20"/>
      <c r="K181" s="19">
        <v>0</v>
      </c>
      <c r="L181" s="20"/>
      <c r="M181" s="19">
        <v>0</v>
      </c>
      <c r="N181" s="20"/>
      <c r="O181" s="19">
        <v>0</v>
      </c>
      <c r="P181" s="20"/>
      <c r="Q181" s="19">
        <v>0</v>
      </c>
      <c r="R181" s="20"/>
      <c r="S181" s="19">
        <v>0</v>
      </c>
      <c r="T181" s="20"/>
      <c r="U181" s="19">
        <v>0</v>
      </c>
      <c r="V181" s="20"/>
      <c r="W181" s="14">
        <v>0</v>
      </c>
      <c r="X181" s="120">
        <v>0</v>
      </c>
      <c r="Y181" s="141">
        <f t="shared" si="46"/>
        <v>0</v>
      </c>
      <c r="Z181" s="142"/>
      <c r="AA181" s="13" t="s">
        <v>198</v>
      </c>
      <c r="AB181" s="149"/>
      <c r="AC181" s="150"/>
      <c r="AD181" s="16">
        <f t="shared" si="49"/>
        <v>0</v>
      </c>
      <c r="AE181" s="98"/>
      <c r="AF181" s="99"/>
      <c r="AG181" s="99"/>
      <c r="AH181" s="99"/>
      <c r="AI181" s="99"/>
      <c r="AJ181" s="99"/>
      <c r="AK181" s="8"/>
      <c r="AL181" s="8"/>
    </row>
    <row r="182" spans="2:40" s="12" customFormat="1" ht="123.75" customHeight="1" x14ac:dyDescent="2.35">
      <c r="B182" s="13" t="s">
        <v>210</v>
      </c>
      <c r="C182" s="19">
        <v>0</v>
      </c>
      <c r="D182" s="20"/>
      <c r="E182" s="19">
        <v>0</v>
      </c>
      <c r="F182" s="20"/>
      <c r="G182" s="19">
        <v>0</v>
      </c>
      <c r="H182" s="20"/>
      <c r="I182" s="19">
        <v>0</v>
      </c>
      <c r="J182" s="20"/>
      <c r="K182" s="19">
        <v>0</v>
      </c>
      <c r="L182" s="20"/>
      <c r="M182" s="19">
        <v>0</v>
      </c>
      <c r="N182" s="20"/>
      <c r="O182" s="19">
        <v>0</v>
      </c>
      <c r="P182" s="20"/>
      <c r="Q182" s="19">
        <v>0</v>
      </c>
      <c r="R182" s="20"/>
      <c r="S182" s="19">
        <v>0</v>
      </c>
      <c r="T182" s="20"/>
      <c r="U182" s="19">
        <v>0</v>
      </c>
      <c r="V182" s="20"/>
      <c r="W182" s="14">
        <v>0</v>
      </c>
      <c r="X182" s="120">
        <v>0</v>
      </c>
      <c r="Y182" s="141">
        <f t="shared" si="46"/>
        <v>0</v>
      </c>
      <c r="Z182" s="142"/>
      <c r="AA182" s="13" t="s">
        <v>210</v>
      </c>
      <c r="AB182" s="125" t="s">
        <v>211</v>
      </c>
      <c r="AC182" s="126"/>
      <c r="AD182" s="16">
        <f t="shared" si="49"/>
        <v>0</v>
      </c>
      <c r="AE182" s="98"/>
      <c r="AF182" s="99"/>
      <c r="AG182" s="99"/>
      <c r="AH182" s="99"/>
      <c r="AI182" s="99"/>
      <c r="AJ182" s="99"/>
      <c r="AK182" s="8"/>
      <c r="AL182" s="8"/>
    </row>
    <row r="183" spans="2:40" s="12" customFormat="1" ht="123.75" customHeight="1" x14ac:dyDescent="2.35">
      <c r="B183" s="13" t="s">
        <v>199</v>
      </c>
      <c r="C183" s="19">
        <v>0</v>
      </c>
      <c r="D183" s="20"/>
      <c r="E183" s="19">
        <v>0</v>
      </c>
      <c r="F183" s="20"/>
      <c r="G183" s="19">
        <v>0</v>
      </c>
      <c r="H183" s="20"/>
      <c r="I183" s="19">
        <v>0</v>
      </c>
      <c r="J183" s="20"/>
      <c r="K183" s="19">
        <v>0</v>
      </c>
      <c r="L183" s="20"/>
      <c r="M183" s="19">
        <v>0</v>
      </c>
      <c r="N183" s="20"/>
      <c r="O183" s="19">
        <v>0</v>
      </c>
      <c r="P183" s="20"/>
      <c r="Q183" s="19">
        <v>0</v>
      </c>
      <c r="R183" s="20"/>
      <c r="S183" s="19">
        <v>0</v>
      </c>
      <c r="T183" s="20"/>
      <c r="U183" s="19">
        <v>0</v>
      </c>
      <c r="V183" s="20"/>
      <c r="W183" s="14">
        <v>0</v>
      </c>
      <c r="X183" s="120">
        <v>0</v>
      </c>
      <c r="Y183" s="141">
        <f t="shared" si="46"/>
        <v>0</v>
      </c>
      <c r="Z183" s="142"/>
      <c r="AA183" s="13" t="s">
        <v>199</v>
      </c>
      <c r="AB183" s="149"/>
      <c r="AC183" s="150"/>
      <c r="AD183" s="16">
        <f t="shared" si="49"/>
        <v>0</v>
      </c>
      <c r="AE183" s="98"/>
      <c r="AF183" s="99"/>
      <c r="AG183" s="99"/>
      <c r="AH183" s="99"/>
      <c r="AI183" s="99"/>
      <c r="AJ183" s="99"/>
      <c r="AK183" s="8"/>
      <c r="AL183" s="8"/>
    </row>
    <row r="184" spans="2:40" s="12" customFormat="1" ht="123.75" customHeight="1" x14ac:dyDescent="2.35">
      <c r="B184" s="13" t="s">
        <v>200</v>
      </c>
      <c r="C184" s="19">
        <v>0</v>
      </c>
      <c r="D184" s="20"/>
      <c r="E184" s="19">
        <v>0</v>
      </c>
      <c r="F184" s="20"/>
      <c r="G184" s="19">
        <v>0</v>
      </c>
      <c r="H184" s="20"/>
      <c r="I184" s="19">
        <v>0</v>
      </c>
      <c r="J184" s="20"/>
      <c r="K184" s="19">
        <v>0</v>
      </c>
      <c r="L184" s="20"/>
      <c r="M184" s="19">
        <v>0</v>
      </c>
      <c r="N184" s="20"/>
      <c r="O184" s="19">
        <v>0</v>
      </c>
      <c r="P184" s="20"/>
      <c r="Q184" s="19">
        <v>0</v>
      </c>
      <c r="R184" s="20"/>
      <c r="S184" s="19">
        <v>0</v>
      </c>
      <c r="T184" s="20"/>
      <c r="U184" s="19">
        <v>0</v>
      </c>
      <c r="V184" s="20"/>
      <c r="W184" s="14">
        <v>0</v>
      </c>
      <c r="X184" s="120">
        <v>0</v>
      </c>
      <c r="Y184" s="141">
        <f t="shared" si="46"/>
        <v>0</v>
      </c>
      <c r="Z184" s="142"/>
      <c r="AA184" s="13" t="s">
        <v>200</v>
      </c>
      <c r="AB184" s="149"/>
      <c r="AC184" s="150"/>
      <c r="AD184" s="16">
        <f t="shared" si="49"/>
        <v>0</v>
      </c>
      <c r="AE184" s="98"/>
      <c r="AF184" s="99"/>
      <c r="AG184" s="99"/>
      <c r="AH184" s="99"/>
      <c r="AI184" s="99"/>
      <c r="AJ184" s="99"/>
      <c r="AK184" s="8"/>
      <c r="AL184" s="8"/>
    </row>
    <row r="185" spans="2:40" s="12" customFormat="1" ht="123.75" customHeight="1" x14ac:dyDescent="2.35">
      <c r="B185" s="13" t="s">
        <v>201</v>
      </c>
      <c r="C185" s="19">
        <v>0</v>
      </c>
      <c r="D185" s="20"/>
      <c r="E185" s="19">
        <v>0</v>
      </c>
      <c r="F185" s="20"/>
      <c r="G185" s="19">
        <v>0</v>
      </c>
      <c r="H185" s="20"/>
      <c r="I185" s="19">
        <v>0</v>
      </c>
      <c r="J185" s="20"/>
      <c r="K185" s="19">
        <v>0</v>
      </c>
      <c r="L185" s="20"/>
      <c r="M185" s="19">
        <v>0</v>
      </c>
      <c r="N185" s="20"/>
      <c r="O185" s="19">
        <v>0</v>
      </c>
      <c r="P185" s="20"/>
      <c r="Q185" s="19">
        <v>0</v>
      </c>
      <c r="R185" s="20"/>
      <c r="S185" s="19">
        <v>0</v>
      </c>
      <c r="T185" s="20"/>
      <c r="U185" s="19">
        <v>0</v>
      </c>
      <c r="V185" s="20"/>
      <c r="W185" s="14">
        <v>0</v>
      </c>
      <c r="X185" s="120">
        <v>0</v>
      </c>
      <c r="Y185" s="141">
        <f t="shared" si="46"/>
        <v>0</v>
      </c>
      <c r="Z185" s="142"/>
      <c r="AA185" s="13" t="s">
        <v>201</v>
      </c>
      <c r="AB185" s="149"/>
      <c r="AC185" s="150"/>
      <c r="AD185" s="16">
        <f t="shared" si="49"/>
        <v>0</v>
      </c>
      <c r="AE185" s="98"/>
      <c r="AF185" s="99"/>
      <c r="AG185" s="99"/>
      <c r="AH185" s="99"/>
      <c r="AI185" s="99"/>
      <c r="AJ185" s="99"/>
      <c r="AK185" s="8"/>
      <c r="AL185" s="8"/>
    </row>
    <row r="186" spans="2:40" s="12" customFormat="1" ht="123.75" customHeight="1" x14ac:dyDescent="2.35">
      <c r="B186" s="13" t="s">
        <v>202</v>
      </c>
      <c r="C186" s="19">
        <v>0</v>
      </c>
      <c r="D186" s="20"/>
      <c r="E186" s="19">
        <v>0</v>
      </c>
      <c r="F186" s="20"/>
      <c r="G186" s="19">
        <v>0</v>
      </c>
      <c r="H186" s="20"/>
      <c r="I186" s="19">
        <v>0</v>
      </c>
      <c r="J186" s="20"/>
      <c r="K186" s="19">
        <v>0</v>
      </c>
      <c r="L186" s="20"/>
      <c r="M186" s="19">
        <v>0</v>
      </c>
      <c r="N186" s="20"/>
      <c r="O186" s="19">
        <v>0</v>
      </c>
      <c r="P186" s="20"/>
      <c r="Q186" s="19">
        <v>0</v>
      </c>
      <c r="R186" s="20"/>
      <c r="S186" s="19">
        <v>0</v>
      </c>
      <c r="T186" s="20"/>
      <c r="U186" s="19">
        <v>0</v>
      </c>
      <c r="V186" s="20"/>
      <c r="W186" s="14">
        <v>0</v>
      </c>
      <c r="X186" s="120">
        <v>0</v>
      </c>
      <c r="Y186" s="141">
        <f t="shared" si="46"/>
        <v>0</v>
      </c>
      <c r="Z186" s="142"/>
      <c r="AA186" s="13" t="s">
        <v>202</v>
      </c>
      <c r="AB186" s="149"/>
      <c r="AC186" s="150"/>
      <c r="AD186" s="16">
        <f t="shared" si="49"/>
        <v>0</v>
      </c>
      <c r="AE186" s="100"/>
      <c r="AF186" s="99"/>
      <c r="AG186" s="99"/>
      <c r="AH186" s="99"/>
      <c r="AI186" s="99"/>
      <c r="AJ186" s="99"/>
      <c r="AK186" s="8"/>
      <c r="AL186" s="8"/>
    </row>
    <row r="187" spans="2:40" s="12" customFormat="1" ht="123.75" customHeight="1" x14ac:dyDescent="2.35">
      <c r="B187" s="13" t="s">
        <v>203</v>
      </c>
      <c r="C187" s="19">
        <v>0</v>
      </c>
      <c r="D187" s="20"/>
      <c r="E187" s="19">
        <v>0</v>
      </c>
      <c r="F187" s="20"/>
      <c r="G187" s="19">
        <v>0</v>
      </c>
      <c r="H187" s="20"/>
      <c r="I187" s="19">
        <v>0</v>
      </c>
      <c r="J187" s="20"/>
      <c r="K187" s="19">
        <v>0</v>
      </c>
      <c r="L187" s="20"/>
      <c r="M187" s="19">
        <v>0</v>
      </c>
      <c r="N187" s="20"/>
      <c r="O187" s="19">
        <v>0</v>
      </c>
      <c r="P187" s="20"/>
      <c r="Q187" s="19">
        <v>0</v>
      </c>
      <c r="R187" s="20"/>
      <c r="S187" s="19">
        <v>0</v>
      </c>
      <c r="T187" s="20"/>
      <c r="U187" s="19">
        <v>0</v>
      </c>
      <c r="V187" s="20"/>
      <c r="W187" s="14">
        <v>0</v>
      </c>
      <c r="X187" s="120">
        <v>0</v>
      </c>
      <c r="Y187" s="141">
        <f t="shared" si="46"/>
        <v>0</v>
      </c>
      <c r="Z187" s="142"/>
      <c r="AA187" s="13" t="s">
        <v>203</v>
      </c>
      <c r="AB187" s="149"/>
      <c r="AC187" s="150"/>
      <c r="AD187" s="16">
        <f t="shared" si="49"/>
        <v>0</v>
      </c>
      <c r="AE187" s="100"/>
      <c r="AF187" s="99"/>
      <c r="AG187" s="99"/>
      <c r="AH187" s="99"/>
      <c r="AI187" s="99"/>
      <c r="AJ187" s="99"/>
      <c r="AK187" s="8"/>
      <c r="AL187" s="8"/>
    </row>
    <row r="188" spans="2:40" ht="123.75" customHeight="1" x14ac:dyDescent="2.35">
      <c r="B188" s="79" t="s">
        <v>106</v>
      </c>
      <c r="C188" s="135" t="s">
        <v>2</v>
      </c>
      <c r="D188" s="136"/>
      <c r="E188" s="135" t="s">
        <v>3</v>
      </c>
      <c r="F188" s="136"/>
      <c r="G188" s="135" t="s">
        <v>4</v>
      </c>
      <c r="H188" s="136"/>
      <c r="I188" s="135" t="s">
        <v>5</v>
      </c>
      <c r="J188" s="136"/>
      <c r="K188" s="135" t="s">
        <v>6</v>
      </c>
      <c r="L188" s="136"/>
      <c r="M188" s="135" t="s">
        <v>7</v>
      </c>
      <c r="N188" s="136"/>
      <c r="O188" s="135" t="s">
        <v>8</v>
      </c>
      <c r="P188" s="136"/>
      <c r="Q188" s="135" t="s">
        <v>9</v>
      </c>
      <c r="R188" s="136"/>
      <c r="S188" s="135" t="s">
        <v>10</v>
      </c>
      <c r="T188" s="136"/>
      <c r="U188" s="135" t="s">
        <v>11</v>
      </c>
      <c r="V188" s="136"/>
      <c r="W188" s="9" t="s">
        <v>12</v>
      </c>
      <c r="X188" s="117"/>
      <c r="Y188" s="147" t="s">
        <v>13</v>
      </c>
      <c r="Z188" s="148"/>
      <c r="AA188" s="79" t="s">
        <v>106</v>
      </c>
      <c r="AB188" s="139"/>
      <c r="AC188" s="140"/>
      <c r="AD188" s="6" t="s">
        <v>16</v>
      </c>
      <c r="AE188" s="7"/>
      <c r="AK188" s="8"/>
      <c r="AL188" s="8"/>
    </row>
    <row r="189" spans="2:40" ht="123.75" customHeight="1" x14ac:dyDescent="2.35">
      <c r="B189" s="15" t="s">
        <v>204</v>
      </c>
      <c r="C189" s="141">
        <v>0</v>
      </c>
      <c r="D189" s="142"/>
      <c r="E189" s="141">
        <v>0</v>
      </c>
      <c r="F189" s="142"/>
      <c r="G189" s="141">
        <v>0</v>
      </c>
      <c r="H189" s="142"/>
      <c r="I189" s="141">
        <v>0</v>
      </c>
      <c r="J189" s="142"/>
      <c r="K189" s="141">
        <v>0</v>
      </c>
      <c r="L189" s="142"/>
      <c r="M189" s="141">
        <v>0</v>
      </c>
      <c r="N189" s="142"/>
      <c r="O189" s="141">
        <v>0</v>
      </c>
      <c r="P189" s="142"/>
      <c r="Q189" s="141">
        <v>0</v>
      </c>
      <c r="R189" s="142"/>
      <c r="S189" s="141">
        <v>0</v>
      </c>
      <c r="T189" s="142"/>
      <c r="U189" s="141">
        <v>0</v>
      </c>
      <c r="V189" s="142"/>
      <c r="W189" s="14">
        <v>0</v>
      </c>
      <c r="X189" s="120"/>
      <c r="Y189" s="141">
        <f>SUM(C189:W189)</f>
        <v>0</v>
      </c>
      <c r="Z189" s="142"/>
      <c r="AA189" s="15" t="s">
        <v>204</v>
      </c>
      <c r="AB189" s="145"/>
      <c r="AC189" s="146"/>
      <c r="AD189" s="16">
        <f>X189</f>
        <v>0</v>
      </c>
      <c r="AE189" s="7"/>
      <c r="AK189" s="8"/>
      <c r="AL189" s="8"/>
    </row>
    <row r="190" spans="2:40" s="2" customFormat="1" ht="123.75" customHeight="1" x14ac:dyDescent="2.35">
      <c r="B190" s="79" t="s">
        <v>205</v>
      </c>
      <c r="C190" s="135" t="s">
        <v>2</v>
      </c>
      <c r="D190" s="136"/>
      <c r="E190" s="135" t="s">
        <v>3</v>
      </c>
      <c r="F190" s="136"/>
      <c r="G190" s="135" t="s">
        <v>4</v>
      </c>
      <c r="H190" s="136"/>
      <c r="I190" s="135" t="s">
        <v>5</v>
      </c>
      <c r="J190" s="136"/>
      <c r="K190" s="135" t="s">
        <v>6</v>
      </c>
      <c r="L190" s="136"/>
      <c r="M190" s="135" t="s">
        <v>7</v>
      </c>
      <c r="N190" s="136"/>
      <c r="O190" s="135" t="s">
        <v>8</v>
      </c>
      <c r="P190" s="136"/>
      <c r="Q190" s="135" t="s">
        <v>9</v>
      </c>
      <c r="R190" s="136"/>
      <c r="S190" s="135" t="s">
        <v>10</v>
      </c>
      <c r="T190" s="136"/>
      <c r="U190" s="135" t="s">
        <v>11</v>
      </c>
      <c r="V190" s="136"/>
      <c r="W190" s="9" t="s">
        <v>12</v>
      </c>
      <c r="X190" s="117"/>
      <c r="Y190" s="147" t="s">
        <v>13</v>
      </c>
      <c r="Z190" s="148"/>
      <c r="AA190" s="79" t="s">
        <v>205</v>
      </c>
      <c r="AB190" s="139"/>
      <c r="AC190" s="140"/>
      <c r="AD190" s="6" t="s">
        <v>16</v>
      </c>
      <c r="AE190" s="7"/>
      <c r="AF190" s="99"/>
      <c r="AG190" s="99"/>
      <c r="AH190" s="99"/>
      <c r="AI190" s="99"/>
      <c r="AJ190" s="99"/>
      <c r="AK190" s="8"/>
      <c r="AL190" s="8"/>
      <c r="AM190" s="12"/>
      <c r="AN190" s="12"/>
    </row>
    <row r="191" spans="2:40" ht="123.75" customHeight="1" x14ac:dyDescent="2.35">
      <c r="B191" s="13" t="s">
        <v>206</v>
      </c>
      <c r="C191" s="19">
        <v>0</v>
      </c>
      <c r="D191" s="20"/>
      <c r="E191" s="19">
        <v>0</v>
      </c>
      <c r="F191" s="20"/>
      <c r="G191" s="19">
        <v>0</v>
      </c>
      <c r="H191" s="20"/>
      <c r="I191" s="19">
        <v>0</v>
      </c>
      <c r="J191" s="20"/>
      <c r="K191" s="19">
        <v>0</v>
      </c>
      <c r="L191" s="20"/>
      <c r="M191" s="19">
        <v>0</v>
      </c>
      <c r="N191" s="20"/>
      <c r="O191" s="19">
        <v>0</v>
      </c>
      <c r="P191" s="20"/>
      <c r="Q191" s="19">
        <v>0</v>
      </c>
      <c r="R191" s="20"/>
      <c r="S191" s="19">
        <v>0</v>
      </c>
      <c r="T191" s="20"/>
      <c r="U191" s="19">
        <v>0</v>
      </c>
      <c r="V191" s="20"/>
      <c r="W191" s="14">
        <v>0</v>
      </c>
      <c r="X191" s="122">
        <v>0</v>
      </c>
      <c r="Y191" s="141">
        <f>SUM(C191:W191)</f>
        <v>0</v>
      </c>
      <c r="Z191" s="142"/>
      <c r="AA191" s="68" t="s">
        <v>206</v>
      </c>
      <c r="AB191" s="143"/>
      <c r="AC191" s="144"/>
      <c r="AD191" s="16">
        <f>X191</f>
        <v>0</v>
      </c>
      <c r="AE191" s="17"/>
      <c r="AM191" s="2"/>
      <c r="AN191" s="2"/>
    </row>
    <row r="192" spans="2:40" s="2" customFormat="1" ht="165" customHeight="1" x14ac:dyDescent="2.35">
      <c r="B192" s="137" t="s">
        <v>207</v>
      </c>
      <c r="C192" s="135" t="s">
        <v>2</v>
      </c>
      <c r="D192" s="136"/>
      <c r="E192" s="135" t="s">
        <v>3</v>
      </c>
      <c r="F192" s="136"/>
      <c r="G192" s="135" t="s">
        <v>4</v>
      </c>
      <c r="H192" s="136"/>
      <c r="I192" s="135" t="s">
        <v>5</v>
      </c>
      <c r="J192" s="136"/>
      <c r="K192" s="135" t="s">
        <v>6</v>
      </c>
      <c r="L192" s="136"/>
      <c r="M192" s="135" t="s">
        <v>7</v>
      </c>
      <c r="N192" s="136"/>
      <c r="O192" s="135" t="s">
        <v>8</v>
      </c>
      <c r="P192" s="136"/>
      <c r="Q192" s="135" t="s">
        <v>9</v>
      </c>
      <c r="R192" s="136"/>
      <c r="S192" s="135" t="s">
        <v>10</v>
      </c>
      <c r="T192" s="136"/>
      <c r="U192" s="135" t="s">
        <v>11</v>
      </c>
      <c r="V192" s="136"/>
      <c r="W192" s="9" t="s">
        <v>12</v>
      </c>
      <c r="X192" s="117"/>
      <c r="Y192" s="132" t="s">
        <v>208</v>
      </c>
      <c r="Z192" s="133"/>
      <c r="AA192" s="134"/>
      <c r="AB192" s="101"/>
      <c r="AC192" s="101"/>
      <c r="AD192" s="102"/>
      <c r="AE192" s="17"/>
      <c r="AK192" s="3"/>
      <c r="AL192" s="3"/>
      <c r="AM192"/>
      <c r="AN192"/>
    </row>
    <row r="193" spans="2:40" s="105" customFormat="1" ht="255" x14ac:dyDescent="3.65">
      <c r="B193" s="138"/>
      <c r="C193" s="244"/>
      <c r="D193" s="244"/>
      <c r="E193" s="244"/>
      <c r="F193" s="244"/>
      <c r="G193" s="244"/>
      <c r="H193" s="244"/>
      <c r="I193" s="244"/>
      <c r="J193" s="244"/>
      <c r="K193" s="244"/>
      <c r="L193" s="244"/>
      <c r="M193" s="244"/>
      <c r="N193" s="244"/>
      <c r="O193" s="244"/>
      <c r="P193" s="244"/>
      <c r="Q193" s="244"/>
      <c r="R193" s="244"/>
      <c r="S193" s="244"/>
      <c r="T193" s="244"/>
      <c r="U193" s="244"/>
      <c r="V193" s="244"/>
      <c r="W193" s="245"/>
      <c r="X193" s="123"/>
      <c r="Y193" s="127">
        <f>SUM(C193:W193)</f>
        <v>0</v>
      </c>
      <c r="Z193" s="128"/>
      <c r="AA193" s="129"/>
      <c r="AB193" s="103"/>
      <c r="AC193" s="103"/>
      <c r="AD193" s="104"/>
      <c r="AE193" s="102"/>
      <c r="AF193" s="2"/>
      <c r="AG193" s="2"/>
      <c r="AH193" s="2"/>
      <c r="AI193" s="2"/>
      <c r="AJ193" s="2"/>
      <c r="AK193" s="3"/>
      <c r="AL193" s="3"/>
      <c r="AM193" s="2"/>
      <c r="AN193" s="2"/>
    </row>
    <row r="195" spans="2:40" x14ac:dyDescent="2.35">
      <c r="C195" s="130"/>
      <c r="D195" s="130"/>
      <c r="O195" s="131"/>
      <c r="P195" s="131"/>
      <c r="R195" s="107"/>
      <c r="AA195" s="108"/>
    </row>
    <row r="196" spans="2:40" x14ac:dyDescent="2.35">
      <c r="AA196" s="108"/>
    </row>
  </sheetData>
  <mergeCells count="342">
    <mergeCell ref="Q2:R2"/>
    <mergeCell ref="S2:T2"/>
    <mergeCell ref="U2:V2"/>
    <mergeCell ref="W2:W3"/>
    <mergeCell ref="Y2:Y3"/>
    <mergeCell ref="Z2:Z3"/>
    <mergeCell ref="B1:AD1"/>
    <mergeCell ref="B2:B3"/>
    <mergeCell ref="C2:D2"/>
    <mergeCell ref="E2:F2"/>
    <mergeCell ref="G2:H2"/>
    <mergeCell ref="I2:J2"/>
    <mergeCell ref="K2:L2"/>
    <mergeCell ref="M2:N2"/>
    <mergeCell ref="O2:P2"/>
    <mergeCell ref="AA2:AA3"/>
    <mergeCell ref="AB2:AC2"/>
    <mergeCell ref="X2:X3"/>
    <mergeCell ref="Z4:Z8"/>
    <mergeCell ref="AC4:AC8"/>
    <mergeCell ref="AF4:AJ6"/>
    <mergeCell ref="AK4:AL21"/>
    <mergeCell ref="AF7:AJ7"/>
    <mergeCell ref="AB10:AB13"/>
    <mergeCell ref="AC10:AC20"/>
    <mergeCell ref="AF10:AJ14"/>
    <mergeCell ref="AK24:AL59"/>
    <mergeCell ref="AF25:AJ25"/>
    <mergeCell ref="AB26:AC26"/>
    <mergeCell ref="AB27:AC28"/>
    <mergeCell ref="AF27:AJ27"/>
    <mergeCell ref="AF28:AJ28"/>
    <mergeCell ref="AB29:AC29"/>
    <mergeCell ref="AB15:AB20"/>
    <mergeCell ref="AF15:AJ15"/>
    <mergeCell ref="AB21:AC21"/>
    <mergeCell ref="AF21:AJ21"/>
    <mergeCell ref="AB22:AC22"/>
    <mergeCell ref="AF22:AJ22"/>
    <mergeCell ref="AB30:AC31"/>
    <mergeCell ref="AF30:AJ30"/>
    <mergeCell ref="AF31:AJ31"/>
    <mergeCell ref="AB32:AC32"/>
    <mergeCell ref="AB33:AC34"/>
    <mergeCell ref="AF33:AJ33"/>
    <mergeCell ref="AF34:AJ34"/>
    <mergeCell ref="AB23:AC23"/>
    <mergeCell ref="AB24:AC25"/>
    <mergeCell ref="AF24:AJ24"/>
    <mergeCell ref="C40:D40"/>
    <mergeCell ref="E40:F40"/>
    <mergeCell ref="G40:H40"/>
    <mergeCell ref="I40:J40"/>
    <mergeCell ref="K40:L40"/>
    <mergeCell ref="AB35:AC35"/>
    <mergeCell ref="AB36:AC37"/>
    <mergeCell ref="AF36:AJ36"/>
    <mergeCell ref="AF37:AJ37"/>
    <mergeCell ref="AB38:AC38"/>
    <mergeCell ref="AB39:AC39"/>
    <mergeCell ref="AB48:AC51"/>
    <mergeCell ref="AB54:AC54"/>
    <mergeCell ref="AB42:AC47"/>
    <mergeCell ref="AF42:AJ42"/>
    <mergeCell ref="AF47:AJ47"/>
    <mergeCell ref="M40:N40"/>
    <mergeCell ref="O40:P40"/>
    <mergeCell ref="Q40:R40"/>
    <mergeCell ref="S40:T40"/>
    <mergeCell ref="U40:V40"/>
    <mergeCell ref="AB40:AC40"/>
    <mergeCell ref="AB55:AC55"/>
    <mergeCell ref="AC57:AC58"/>
    <mergeCell ref="AB59:AC59"/>
    <mergeCell ref="B60:B61"/>
    <mergeCell ref="C60:D60"/>
    <mergeCell ref="E60:F60"/>
    <mergeCell ref="G60:H60"/>
    <mergeCell ref="I60:J60"/>
    <mergeCell ref="K60:L60"/>
    <mergeCell ref="Y60:Y61"/>
    <mergeCell ref="Z60:Z61"/>
    <mergeCell ref="AA60:AA61"/>
    <mergeCell ref="AB60:AC60"/>
    <mergeCell ref="AB62:AC67"/>
    <mergeCell ref="AF63:AJ63"/>
    <mergeCell ref="AF64:AJ64"/>
    <mergeCell ref="M60:N60"/>
    <mergeCell ref="O60:P60"/>
    <mergeCell ref="Q60:R60"/>
    <mergeCell ref="S60:T60"/>
    <mergeCell ref="U60:V60"/>
    <mergeCell ref="W60:W61"/>
    <mergeCell ref="Q70:R70"/>
    <mergeCell ref="S70:T70"/>
    <mergeCell ref="U70:V70"/>
    <mergeCell ref="AB70:AC70"/>
    <mergeCell ref="AB71:AC72"/>
    <mergeCell ref="AF71:AJ71"/>
    <mergeCell ref="AB68:AC68"/>
    <mergeCell ref="AB69:AC69"/>
    <mergeCell ref="C70:D70"/>
    <mergeCell ref="E70:F70"/>
    <mergeCell ref="G70:H70"/>
    <mergeCell ref="I70:J70"/>
    <mergeCell ref="K70:L70"/>
    <mergeCell ref="M70:N70"/>
    <mergeCell ref="O70:P70"/>
    <mergeCell ref="AF78:AJ78"/>
    <mergeCell ref="AF79:AJ79"/>
    <mergeCell ref="AB80:AC81"/>
    <mergeCell ref="AF80:AJ80"/>
    <mergeCell ref="AK80:AL86"/>
    <mergeCell ref="AF81:AJ81"/>
    <mergeCell ref="AB82:AC82"/>
    <mergeCell ref="AB83:AC83"/>
    <mergeCell ref="AB84:AC84"/>
    <mergeCell ref="AB85:AC85"/>
    <mergeCell ref="AK71:AL78"/>
    <mergeCell ref="AF72:AJ72"/>
    <mergeCell ref="AB73:AC73"/>
    <mergeCell ref="AB74:AC75"/>
    <mergeCell ref="AF74:AJ74"/>
    <mergeCell ref="AF75:AJ75"/>
    <mergeCell ref="AB76:AC77"/>
    <mergeCell ref="AF76:AJ76"/>
    <mergeCell ref="AF77:AJ77"/>
    <mergeCell ref="AB78:AC79"/>
    <mergeCell ref="AB86:AC86"/>
    <mergeCell ref="C87:D87"/>
    <mergeCell ref="E87:F87"/>
    <mergeCell ref="G87:H87"/>
    <mergeCell ref="I87:J87"/>
    <mergeCell ref="K87:L87"/>
    <mergeCell ref="M87:N87"/>
    <mergeCell ref="O87:P87"/>
    <mergeCell ref="Q87:R87"/>
    <mergeCell ref="S87:T87"/>
    <mergeCell ref="U87:V87"/>
    <mergeCell ref="AB87:AC87"/>
    <mergeCell ref="AK87:AL112"/>
    <mergeCell ref="AB88:AC88"/>
    <mergeCell ref="AB90:AC90"/>
    <mergeCell ref="AB91:AC91"/>
    <mergeCell ref="AB92:AC92"/>
    <mergeCell ref="AB93:AC102"/>
    <mergeCell ref="AF93:AJ97"/>
    <mergeCell ref="K105:L105"/>
    <mergeCell ref="M105:N105"/>
    <mergeCell ref="O105:P105"/>
    <mergeCell ref="Q105:R105"/>
    <mergeCell ref="S105:T105"/>
    <mergeCell ref="AF98:AJ98"/>
    <mergeCell ref="AF100:AJ100"/>
    <mergeCell ref="AB103:AC103"/>
    <mergeCell ref="AF103:AJ107"/>
    <mergeCell ref="B104:AD104"/>
    <mergeCell ref="B105:B106"/>
    <mergeCell ref="C105:D105"/>
    <mergeCell ref="E105:F105"/>
    <mergeCell ref="G105:H105"/>
    <mergeCell ref="I105:J105"/>
    <mergeCell ref="AK113:AL137"/>
    <mergeCell ref="AF118:AJ118"/>
    <mergeCell ref="AF119:AJ119"/>
    <mergeCell ref="AB126:AC136"/>
    <mergeCell ref="AF126:AJ127"/>
    <mergeCell ref="AF129:AJ129"/>
    <mergeCell ref="U105:V105"/>
    <mergeCell ref="W105:W106"/>
    <mergeCell ref="Y105:Y106"/>
    <mergeCell ref="Z105:Z106"/>
    <mergeCell ref="AA105:AA106"/>
    <mergeCell ref="AB105:AC105"/>
    <mergeCell ref="C138:D138"/>
    <mergeCell ref="E138:F138"/>
    <mergeCell ref="G138:H138"/>
    <mergeCell ref="I138:J138"/>
    <mergeCell ref="K138:L138"/>
    <mergeCell ref="M138:N138"/>
    <mergeCell ref="AB107:AC111"/>
    <mergeCell ref="AF111:AJ111"/>
    <mergeCell ref="AB112:AC125"/>
    <mergeCell ref="AF112:AJ117"/>
    <mergeCell ref="O138:P138"/>
    <mergeCell ref="Q138:R138"/>
    <mergeCell ref="S138:T138"/>
    <mergeCell ref="U138:V138"/>
    <mergeCell ref="AB138:AC138"/>
    <mergeCell ref="AB139:AC140"/>
    <mergeCell ref="AF136:AJ136"/>
    <mergeCell ref="AB137:AC137"/>
    <mergeCell ref="AF137:AJ137"/>
    <mergeCell ref="M141:N141"/>
    <mergeCell ref="O141:P141"/>
    <mergeCell ref="Q141:R141"/>
    <mergeCell ref="S141:T141"/>
    <mergeCell ref="U141:V141"/>
    <mergeCell ref="AB141:AC141"/>
    <mergeCell ref="C141:D141"/>
    <mergeCell ref="E141:F141"/>
    <mergeCell ref="G141:H141"/>
    <mergeCell ref="I141:J141"/>
    <mergeCell ref="K141:L141"/>
    <mergeCell ref="AB142:AC152"/>
    <mergeCell ref="AB153:AC153"/>
    <mergeCell ref="B154:AD154"/>
    <mergeCell ref="B155:B156"/>
    <mergeCell ref="C155:D155"/>
    <mergeCell ref="E155:F155"/>
    <mergeCell ref="G155:H155"/>
    <mergeCell ref="I155:J155"/>
    <mergeCell ref="K155:L155"/>
    <mergeCell ref="Y155:Y156"/>
    <mergeCell ref="Z155:Z156"/>
    <mergeCell ref="AA155:AA156"/>
    <mergeCell ref="AB155:AC155"/>
    <mergeCell ref="AB157:AC162"/>
    <mergeCell ref="C163:D163"/>
    <mergeCell ref="E163:F163"/>
    <mergeCell ref="G163:H163"/>
    <mergeCell ref="I163:J163"/>
    <mergeCell ref="K163:L163"/>
    <mergeCell ref="M155:N155"/>
    <mergeCell ref="O155:P155"/>
    <mergeCell ref="Q155:R155"/>
    <mergeCell ref="S155:T155"/>
    <mergeCell ref="U155:V155"/>
    <mergeCell ref="W155:W156"/>
    <mergeCell ref="AF164:AJ167"/>
    <mergeCell ref="Y165:Z165"/>
    <mergeCell ref="Y166:Z166"/>
    <mergeCell ref="Y167:Z167"/>
    <mergeCell ref="Y168:Z168"/>
    <mergeCell ref="AF168:AJ168"/>
    <mergeCell ref="M163:N163"/>
    <mergeCell ref="O163:P163"/>
    <mergeCell ref="Q163:R163"/>
    <mergeCell ref="S163:T163"/>
    <mergeCell ref="U163:V163"/>
    <mergeCell ref="Y169:Z169"/>
    <mergeCell ref="Y170:Z170"/>
    <mergeCell ref="Y171:Z171"/>
    <mergeCell ref="Y172:Z172"/>
    <mergeCell ref="AB172:AC172"/>
    <mergeCell ref="Y173:Z173"/>
    <mergeCell ref="AB173:AC173"/>
    <mergeCell ref="Y163:Z163"/>
    <mergeCell ref="AB163:AC163"/>
    <mergeCell ref="Y164:Z164"/>
    <mergeCell ref="AB164:AC171"/>
    <mergeCell ref="Y177:Z177"/>
    <mergeCell ref="AB177:AC177"/>
    <mergeCell ref="Y178:Z178"/>
    <mergeCell ref="AB178:AC178"/>
    <mergeCell ref="AG178:AI178"/>
    <mergeCell ref="Y179:Z179"/>
    <mergeCell ref="AB179:AC179"/>
    <mergeCell ref="Y174:Z174"/>
    <mergeCell ref="AB174:AC174"/>
    <mergeCell ref="Y175:Z175"/>
    <mergeCell ref="AB175:AC175"/>
    <mergeCell ref="Y176:Z176"/>
    <mergeCell ref="AB176:AC176"/>
    <mergeCell ref="Y184:Z184"/>
    <mergeCell ref="AB184:AC184"/>
    <mergeCell ref="Y185:Z185"/>
    <mergeCell ref="AB185:AC185"/>
    <mergeCell ref="Y186:Z186"/>
    <mergeCell ref="AB186:AC186"/>
    <mergeCell ref="Y180:Z180"/>
    <mergeCell ref="AB180:AC180"/>
    <mergeCell ref="Y181:Z181"/>
    <mergeCell ref="AB181:AC181"/>
    <mergeCell ref="Y183:Z183"/>
    <mergeCell ref="AB183:AC183"/>
    <mergeCell ref="Y182:Z182"/>
    <mergeCell ref="Y187:Z187"/>
    <mergeCell ref="AB187:AC187"/>
    <mergeCell ref="C188:D188"/>
    <mergeCell ref="E188:F188"/>
    <mergeCell ref="G188:H188"/>
    <mergeCell ref="I188:J188"/>
    <mergeCell ref="K188:L188"/>
    <mergeCell ref="M188:N188"/>
    <mergeCell ref="O188:P188"/>
    <mergeCell ref="S188:T188"/>
    <mergeCell ref="U188:V188"/>
    <mergeCell ref="Y188:Z188"/>
    <mergeCell ref="AB188:AC188"/>
    <mergeCell ref="Q188:R188"/>
    <mergeCell ref="AB190:AC190"/>
    <mergeCell ref="Y191:Z191"/>
    <mergeCell ref="AB191:AC191"/>
    <mergeCell ref="Y189:Z189"/>
    <mergeCell ref="AB189:AC189"/>
    <mergeCell ref="C190:D190"/>
    <mergeCell ref="E190:F190"/>
    <mergeCell ref="G190:H190"/>
    <mergeCell ref="I190:J190"/>
    <mergeCell ref="K190:L190"/>
    <mergeCell ref="M190:N190"/>
    <mergeCell ref="O190:P190"/>
    <mergeCell ref="M189:N189"/>
    <mergeCell ref="O189:P189"/>
    <mergeCell ref="Q189:R189"/>
    <mergeCell ref="S189:T189"/>
    <mergeCell ref="U189:V189"/>
    <mergeCell ref="Y190:Z190"/>
    <mergeCell ref="C189:D189"/>
    <mergeCell ref="E189:F189"/>
    <mergeCell ref="G189:H189"/>
    <mergeCell ref="I189:J189"/>
    <mergeCell ref="K189:L189"/>
    <mergeCell ref="B192:B193"/>
    <mergeCell ref="C192:D192"/>
    <mergeCell ref="E192:F192"/>
    <mergeCell ref="G192:H192"/>
    <mergeCell ref="I192:J192"/>
    <mergeCell ref="K192:L192"/>
    <mergeCell ref="Q190:R190"/>
    <mergeCell ref="S190:T190"/>
    <mergeCell ref="U190:V190"/>
    <mergeCell ref="S193:T193"/>
    <mergeCell ref="U193:V193"/>
    <mergeCell ref="Y193:AA193"/>
    <mergeCell ref="C195:D195"/>
    <mergeCell ref="O195:P195"/>
    <mergeCell ref="Y192:AA192"/>
    <mergeCell ref="C193:D193"/>
    <mergeCell ref="E193:F193"/>
    <mergeCell ref="G193:H193"/>
    <mergeCell ref="I193:J193"/>
    <mergeCell ref="K193:L193"/>
    <mergeCell ref="M193:N193"/>
    <mergeCell ref="O193:P193"/>
    <mergeCell ref="Q193:R193"/>
    <mergeCell ref="M192:N192"/>
    <mergeCell ref="O192:P192"/>
    <mergeCell ref="Q192:R192"/>
    <mergeCell ref="S192:T192"/>
    <mergeCell ref="U192:V192"/>
  </mergeCells>
  <pageMargins left="1.1023622047244095" right="0.70866141732283472" top="0.74803149606299213" bottom="0.74803149606299213" header="0.31496062992125984" footer="0.31496062992125984"/>
  <pageSetup paperSize="5" scale="10" orientation="landscape" verticalDpi="0" r:id="rId1"/>
  <rowBreaks count="4" manualBreakCount="4">
    <brk id="39" min="1" max="40" man="1"/>
    <brk id="59" min="1" max="41" man="1"/>
    <brk id="103" min="1" max="40" man="1"/>
    <brk id="153" min="1" max="4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23D8A-2430-4671-8DAB-D122AE188670}">
  <dimension ref="D7"/>
  <sheetViews>
    <sheetView workbookViewId="0">
      <selection activeCell="D7" sqref="D7"/>
    </sheetView>
  </sheetViews>
  <sheetFormatPr baseColWidth="10" defaultRowHeight="15" x14ac:dyDescent="0.25"/>
  <sheetData>
    <row r="7" spans="4:4" x14ac:dyDescent="0.25">
      <c r="D7">
        <v>2342343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base_0</vt:lpstr>
      <vt:lpstr>Hoja1</vt:lpstr>
      <vt:lpstr>base_0!Área_de_impresión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2026-09-23T16:05:10Z</cp:lastPrinted>
  <dcterms:created xsi:type="dcterms:W3CDTF">2015-06-05T18:19:34Z</dcterms:created>
  <dcterms:modified xsi:type="dcterms:W3CDTF">2026-09-25T14:15:47Z</dcterms:modified>
</cp:coreProperties>
</file>