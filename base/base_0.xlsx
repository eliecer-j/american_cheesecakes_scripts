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48318A8C-9AAB-4AED-A94D-5E6B840BF3B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base_0!$B$1:$AN$201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42" i="2" l="1"/>
  <c r="Y142" i="2"/>
  <c r="Y193" i="2"/>
  <c r="AD193" i="2"/>
  <c r="AD142" i="2"/>
  <c r="Y50" i="2"/>
  <c r="Z50" i="2"/>
  <c r="AD50" i="2"/>
  <c r="Y189" i="2" l="1"/>
  <c r="Y188" i="2"/>
  <c r="AD189" i="2"/>
  <c r="AD58" i="2"/>
  <c r="AD57" i="2"/>
  <c r="Y57" i="2"/>
  <c r="Z57" i="2"/>
  <c r="Y56" i="2"/>
  <c r="Z56" i="2"/>
  <c r="AD56" i="2"/>
  <c r="AD130" i="2"/>
  <c r="Y130" i="2"/>
  <c r="Z130" i="2"/>
  <c r="AD136" i="2"/>
  <c r="Y136" i="2"/>
  <c r="Z136" i="2"/>
  <c r="C141" i="2"/>
  <c r="Z168" i="2"/>
  <c r="Y168" i="2"/>
  <c r="Z167" i="2"/>
  <c r="Y167" i="2"/>
  <c r="Z166" i="2"/>
  <c r="Y166" i="2"/>
  <c r="Z165" i="2"/>
  <c r="Y165" i="2"/>
  <c r="Z164" i="2"/>
  <c r="Y164" i="2"/>
  <c r="Z163" i="2"/>
  <c r="Y163" i="2"/>
  <c r="Z158" i="2"/>
  <c r="Y158" i="2"/>
  <c r="Z157" i="2"/>
  <c r="Y157" i="2"/>
  <c r="Z156" i="2"/>
  <c r="Y156" i="2"/>
  <c r="Z155" i="2"/>
  <c r="Y155" i="2"/>
  <c r="Z154" i="2"/>
  <c r="Y154" i="2"/>
  <c r="Z153" i="2"/>
  <c r="Y153" i="2"/>
  <c r="Z152" i="2"/>
  <c r="Y152" i="2"/>
  <c r="Z151" i="2"/>
  <c r="Y151" i="2"/>
  <c r="Z150" i="2"/>
  <c r="Y150" i="2"/>
  <c r="Z149" i="2"/>
  <c r="Y149" i="2"/>
  <c r="Z148" i="2"/>
  <c r="Y148" i="2"/>
  <c r="Z146" i="2"/>
  <c r="Y146" i="2"/>
  <c r="Z145" i="2"/>
  <c r="Y145" i="2"/>
  <c r="Z143" i="2"/>
  <c r="Y143" i="2"/>
  <c r="Z140" i="2"/>
  <c r="Y140" i="2"/>
  <c r="Z139" i="2"/>
  <c r="Y139" i="2"/>
  <c r="Z138" i="2"/>
  <c r="Y138" i="2"/>
  <c r="Z137" i="2"/>
  <c r="Y137" i="2"/>
  <c r="Z135" i="2"/>
  <c r="Y135" i="2"/>
  <c r="Z134" i="2"/>
  <c r="Y134" i="2"/>
  <c r="Z133" i="2"/>
  <c r="Y133" i="2"/>
  <c r="Z132" i="2"/>
  <c r="Y132" i="2"/>
  <c r="Z131" i="2"/>
  <c r="Y131" i="2"/>
  <c r="Z129" i="2"/>
  <c r="Y129" i="2"/>
  <c r="Z127" i="2"/>
  <c r="Y127" i="2"/>
  <c r="Z126" i="2"/>
  <c r="Y126" i="2"/>
  <c r="Z125" i="2"/>
  <c r="Y125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3" i="2"/>
  <c r="Y113" i="2"/>
  <c r="Z112" i="2"/>
  <c r="Y112" i="2"/>
  <c r="Z111" i="2"/>
  <c r="Y111" i="2"/>
  <c r="Z110" i="2"/>
  <c r="Y110" i="2"/>
  <c r="Z105" i="2"/>
  <c r="Y105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1" i="2"/>
  <c r="Y91" i="2"/>
  <c r="Z89" i="2"/>
  <c r="Y89" i="2"/>
  <c r="Z88" i="2"/>
  <c r="Y88" i="2"/>
  <c r="Z87" i="2"/>
  <c r="Y87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5" i="2"/>
  <c r="Y75" i="2"/>
  <c r="Z74" i="2"/>
  <c r="Y74" i="2"/>
  <c r="Z71" i="2"/>
  <c r="Y71" i="2"/>
  <c r="Z70" i="2"/>
  <c r="Y70" i="2"/>
  <c r="Z69" i="2"/>
  <c r="Y69" i="2"/>
  <c r="Z68" i="2"/>
  <c r="Y68" i="2"/>
  <c r="Z67" i="2"/>
  <c r="Y67" i="2"/>
  <c r="Z66" i="2"/>
  <c r="Y66" i="2"/>
  <c r="Z65" i="2"/>
  <c r="Y65" i="2"/>
  <c r="Z61" i="2"/>
  <c r="Y61" i="2"/>
  <c r="Z60" i="2"/>
  <c r="Y60" i="2"/>
  <c r="Z59" i="2"/>
  <c r="Y59" i="2"/>
  <c r="Z58" i="2"/>
  <c r="Y58" i="2"/>
  <c r="Z54" i="2"/>
  <c r="Y54" i="2"/>
  <c r="Z53" i="2"/>
  <c r="Y53" i="2"/>
  <c r="Z52" i="2"/>
  <c r="Y52" i="2"/>
  <c r="Z51" i="2"/>
  <c r="Y51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Y4" i="2"/>
  <c r="AD188" i="2"/>
  <c r="AD10" i="2" l="1"/>
  <c r="AD8" i="2"/>
  <c r="AD5" i="2"/>
  <c r="W21" i="2"/>
  <c r="AD62" i="2"/>
  <c r="AD199" i="2"/>
  <c r="AD197" i="2"/>
  <c r="AD181" i="2"/>
  <c r="AD180" i="2"/>
  <c r="AD179" i="2"/>
  <c r="AD177" i="2"/>
  <c r="AD182" i="2"/>
  <c r="AD183" i="2"/>
  <c r="AD184" i="2"/>
  <c r="AD185" i="2"/>
  <c r="AD186" i="2"/>
  <c r="AD187" i="2"/>
  <c r="AD190" i="2"/>
  <c r="AD191" i="2"/>
  <c r="AD192" i="2"/>
  <c r="AD194" i="2"/>
  <c r="AD195" i="2"/>
  <c r="AD171" i="2"/>
  <c r="AD172" i="2"/>
  <c r="AD173" i="2"/>
  <c r="AD174" i="2"/>
  <c r="AD175" i="2"/>
  <c r="AD176" i="2"/>
  <c r="AD170" i="2"/>
  <c r="AD164" i="2"/>
  <c r="AD165" i="2"/>
  <c r="AD166" i="2"/>
  <c r="AD167" i="2"/>
  <c r="AD168" i="2"/>
  <c r="AD163" i="2"/>
  <c r="AD149" i="2"/>
  <c r="AD150" i="2"/>
  <c r="AD151" i="2"/>
  <c r="AD152" i="2"/>
  <c r="AD153" i="2"/>
  <c r="AD154" i="2"/>
  <c r="AD155" i="2"/>
  <c r="AD156" i="2"/>
  <c r="AD157" i="2"/>
  <c r="AD158" i="2"/>
  <c r="AD148" i="2"/>
  <c r="AD146" i="2"/>
  <c r="AD145" i="2"/>
  <c r="AD143" i="2"/>
  <c r="AF143" i="2" s="1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1" i="2"/>
  <c r="AD132" i="2"/>
  <c r="AD133" i="2"/>
  <c r="AD134" i="2"/>
  <c r="AD135" i="2"/>
  <c r="AD137" i="2"/>
  <c r="AD138" i="2"/>
  <c r="AD139" i="2"/>
  <c r="AD140" i="2"/>
  <c r="AD141" i="2"/>
  <c r="AD110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91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74" i="2"/>
  <c r="AD66" i="2"/>
  <c r="AD67" i="2"/>
  <c r="AD68" i="2"/>
  <c r="AD69" i="2"/>
  <c r="AD70" i="2"/>
  <c r="AD71" i="2"/>
  <c r="AD65" i="2"/>
  <c r="AD42" i="2"/>
  <c r="AD43" i="2"/>
  <c r="AD44" i="2"/>
  <c r="AD45" i="2"/>
  <c r="AD46" i="2"/>
  <c r="AD47" i="2"/>
  <c r="AD48" i="2"/>
  <c r="AD49" i="2"/>
  <c r="AD51" i="2"/>
  <c r="AD52" i="2"/>
  <c r="AD53" i="2"/>
  <c r="AD54" i="2"/>
  <c r="AD55" i="2"/>
  <c r="AD59" i="2"/>
  <c r="AD60" i="2"/>
  <c r="AD61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33" i="2" l="1"/>
  <c r="AF47" i="2"/>
  <c r="Y201" i="2"/>
  <c r="Y199" i="2"/>
  <c r="Y197" i="2"/>
  <c r="Y195" i="2"/>
  <c r="Y194" i="2"/>
  <c r="Y192" i="2"/>
  <c r="Y191" i="2"/>
  <c r="Y190" i="2"/>
  <c r="Y187" i="2"/>
  <c r="Y186" i="2"/>
  <c r="Y185" i="2"/>
  <c r="Y184" i="2"/>
  <c r="Y183" i="2"/>
  <c r="Y182" i="2"/>
  <c r="Y181" i="2"/>
  <c r="Y180" i="2"/>
  <c r="Y179" i="2"/>
  <c r="W178" i="2"/>
  <c r="U178" i="2"/>
  <c r="S178" i="2"/>
  <c r="Q178" i="2"/>
  <c r="O178" i="2"/>
  <c r="M178" i="2"/>
  <c r="K178" i="2"/>
  <c r="I178" i="2"/>
  <c r="G178" i="2"/>
  <c r="E178" i="2"/>
  <c r="C178" i="2"/>
  <c r="Y177" i="2"/>
  <c r="Y176" i="2"/>
  <c r="Y175" i="2"/>
  <c r="AF174" i="2"/>
  <c r="Y174" i="2"/>
  <c r="Y173" i="2"/>
  <c r="Y172" i="2"/>
  <c r="Y171" i="2"/>
  <c r="Y170" i="2"/>
  <c r="W159" i="2"/>
  <c r="V159" i="2"/>
  <c r="U159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F121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AF101" i="2"/>
  <c r="AK90" i="2"/>
  <c r="AB89" i="2"/>
  <c r="AF84" i="2"/>
  <c r="AF82" i="2"/>
  <c r="AF80" i="2"/>
  <c r="AF78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F75" i="2"/>
  <c r="AK74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F67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B61" i="2"/>
  <c r="AB60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Y8" i="2"/>
  <c r="AB8" i="2" s="1"/>
  <c r="AF7" i="2"/>
  <c r="Y7" i="2"/>
  <c r="AB7" i="2" s="1"/>
  <c r="Y6" i="2"/>
  <c r="AB6" i="2" s="1"/>
  <c r="Y5" i="2"/>
  <c r="AB5" i="2" s="1"/>
  <c r="AK4" i="2"/>
  <c r="Z4" i="2" l="1"/>
  <c r="AB81" i="2"/>
  <c r="AB145" i="2"/>
  <c r="AB27" i="2"/>
  <c r="AB30" i="2"/>
  <c r="AB33" i="2"/>
  <c r="AB36" i="2"/>
  <c r="AB10" i="2"/>
  <c r="AB15" i="2"/>
  <c r="AB77" i="2"/>
  <c r="AB110" i="2"/>
  <c r="AB65" i="2"/>
  <c r="AB83" i="2"/>
  <c r="AB79" i="2"/>
  <c r="AC60" i="2"/>
  <c r="AB24" i="2"/>
  <c r="AB74" i="2"/>
  <c r="AB163" i="2"/>
  <c r="AB170" i="2"/>
  <c r="AB96" i="2"/>
  <c r="AB115" i="2"/>
  <c r="AB129" i="2"/>
  <c r="AB148" i="2"/>
  <c r="Y178" i="2"/>
  <c r="AC4" i="2"/>
  <c r="AB42" i="2"/>
  <c r="AC10" i="2" l="1"/>
</calcChain>
</file>

<file path=xl/sharedStrings.xml><?xml version="1.0" encoding="utf-8"?>
<sst xmlns="http://schemas.openxmlformats.org/spreadsheetml/2006/main" count="631" uniqueCount="225">
  <si>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</si>
  <si>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</si>
  <si>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</si>
  <si>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</si>
  <si>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</si>
  <si>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</si>
  <si>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</si>
  <si>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</si>
  <si>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</si>
  <si>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</si>
  <si>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</si>
  <si>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</si>
  <si>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</si>
  <si>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</si>
  <si>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</si>
  <si>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</si>
  <si>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</si>
  <si>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</si>
  <si>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</si>
  <si>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</si>
  <si>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</si>
  <si>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</si>
  <si>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</si>
  <si>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</si>
  <si>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</si>
  <si>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</si>
  <si>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</si>
  <si>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</si>
  <si>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</si>
  <si>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</si>
  <si>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</si>
  <si>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</si>
  <si>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</si>
  <si>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</si>
  <si>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</si>
  <si>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</si>
  <si>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</si>
  <si>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</si>
  <si>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</si>
  <si>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</si>
  <si>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</si>
  <si>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</si>
  <si>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</si>
  <si>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</si>
  <si>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</si>
  <si>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</si>
  <si>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</si>
  <si>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</si>
  <si>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</si>
  <si>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</si>
  <si>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</si>
  <si>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</si>
  <si>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</si>
  <si>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</si>
  <si>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</si>
  <si>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</si>
  <si>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</si>
  <si>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</si>
  <si>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</si>
  <si>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</si>
  <si>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</si>
  <si>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</si>
  <si>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</si>
  <si>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</si>
  <si>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</si>
  <si>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</si>
  <si>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</si>
  <si>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</si>
  <si>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</si>
  <si>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</si>
  <si>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</si>
  <si>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</si>
  <si>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</si>
  <si>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</si>
  <si>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</si>
  <si>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</si>
  <si>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</si>
  <si>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</si>
  <si>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</si>
  <si>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</si>
  <si>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</si>
  <si>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</si>
  <si>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</si>
  <si>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</si>
  <si>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</si>
  <si>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</si>
  <si>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</si>
  <si>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</si>
  <si>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</si>
  <si>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</si>
  <si>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</si>
  <si>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</si>
  <si>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</si>
  <si>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</si>
  <si>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</si>
  <si>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</si>
  <si>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</si>
  <si>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</si>
  <si>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</si>
  <si>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</si>
  <si>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</si>
  <si>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</si>
  <si>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</si>
  <si>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</si>
  <si>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</si>
  <si>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</si>
  <si>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</si>
  <si>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</si>
  <si>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</si>
  <si>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</si>
  <si>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</si>
  <si>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</si>
  <si>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</si>
  <si>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</si>
  <si>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</si>
  <si>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</si>
  <si>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</si>
  <si>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</si>
  <si>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</si>
  <si>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</si>
  <si>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</si>
  <si>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</si>
  <si>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</si>
  <si>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</si>
  <si>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</si>
  <si>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</si>
  <si>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</si>
  <si>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</si>
  <si>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</si>
  <si>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</si>
  <si>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</si>
  <si>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</si>
  <si>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</si>
  <si>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</si>
  <si>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</si>
  <si>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</si>
  <si>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</si>
  <si>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</si>
  <si>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</si>
  <si>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</si>
  <si>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</si>
  <si>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</si>
  <si>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</si>
  <si>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</si>
  <si>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</si>
  <si>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</si>
  <si>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</si>
  <si>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</si>
  <si>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</si>
  <si>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</si>
  <si>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</si>
  <si>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</si>
  <si>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</si>
  <si>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</si>
  <si>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</si>
  <si>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</si>
  <si>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</si>
  <si>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</si>
  <si>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</si>
  <si>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</si>
  <si>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</si>
  <si>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</si>
  <si>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</si>
  <si>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</si>
  <si>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</si>
  <si>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</si>
  <si>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</si>
  <si>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</si>
  <si>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</si>
  <si>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</si>
  <si>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</si>
  <si>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</si>
  <si>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</si>
  <si>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</si>
  <si>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</si>
  <si>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</si>
  <si>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</si>
  <si>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</si>
  <si>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</si>
  <si>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</si>
  <si>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</si>
  <si>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</si>
  <si>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</si>
  <si>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</si>
  <si>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</si>
  <si>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</si>
  <si>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</si>
  <si>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</si>
  <si>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</si>
  <si>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</si>
  <si>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</si>
  <si>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</si>
  <si>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</si>
  <si>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</si>
  <si>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</si>
  <si>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</si>
  <si>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</si>
  <si>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</si>
  <si>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</si>
  <si>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</si>
  <si>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</si>
  <si>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</si>
  <si>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</si>
  <si>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</si>
  <si>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</si>
  <si>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</si>
  <si>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</si>
  <si>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</si>
  <si>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</si>
  <si>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</si>
  <si>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</si>
  <si>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</si>
  <si>
    <t>TORTA 12 PX ZANAHORIA</t>
  </si>
  <si>
    <t>TORTA 12 PX S/AZÚCAR</t>
  </si>
  <si>
    <t>TARTALETA 12PX N</t>
  </si>
  <si>
    <t>TARTALETA 12PX S/A</t>
  </si>
  <si>
    <t>TARTALETA 18PX N</t>
  </si>
  <si>
    <t>TARTALETA 18PX S/A</t>
  </si>
  <si>
    <t>DOBLE ESPECIAL 15 PX FRUTOS ROJOS</t>
  </si>
  <si>
    <t>DOBLE E 15 PX FRUTOS ZERO</t>
  </si>
  <si>
    <t xml:space="preserve">       VENTAS DIARIAS POR PRODUCTO DEL 5 DE OCTUBRE DEL 2026</t>
  </si>
  <si>
    <t>TE HELADO</t>
  </si>
  <si>
    <t>MED BLACKBERRY/OREO</t>
  </si>
  <si>
    <t>TORTA 18 PX KINDER</t>
  </si>
  <si>
    <t>SODA FRUTOS VERDES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</si>
</sst>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7" xfId="0" applyNumberFormat="1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3" fontId="3" fillId="0" borderId="1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3" fontId="3" fillId="0" borderId="9" xfId="0" applyNumberFormat="1" applyFont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164" fontId="19" fillId="0" borderId="6" xfId="0" applyNumberFormat="1" applyFont="1" applyBorder="1" applyAlignment="1">
      <alignment horizontal="center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94</xdr:row>
      <xdr:rowOff>0</xdr:rowOff>
    </xdr:from>
    <xdr:to>
      <xdr:col>26</xdr:col>
      <xdr:colOff>13317798</xdr:colOff>
      <xdr:row>94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73</xdr:row>
      <xdr:rowOff>158750</xdr:rowOff>
    </xdr:from>
    <xdr:to>
      <xdr:col>30</xdr:col>
      <xdr:colOff>2143125</xdr:colOff>
      <xdr:row>74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76</xdr:row>
      <xdr:rowOff>79375</xdr:rowOff>
    </xdr:from>
    <xdr:to>
      <xdr:col>31</xdr:col>
      <xdr:colOff>79375</xdr:colOff>
      <xdr:row>77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78</xdr:row>
      <xdr:rowOff>158750</xdr:rowOff>
    </xdr:from>
    <xdr:to>
      <xdr:col>31</xdr:col>
      <xdr:colOff>79375</xdr:colOff>
      <xdr:row>79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80</xdr:row>
      <xdr:rowOff>0</xdr:rowOff>
    </xdr:from>
    <xdr:to>
      <xdr:col>30</xdr:col>
      <xdr:colOff>2143125</xdr:colOff>
      <xdr:row>81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82</xdr:row>
      <xdr:rowOff>0</xdr:rowOff>
    </xdr:from>
    <xdr:to>
      <xdr:col>31</xdr:col>
      <xdr:colOff>0</xdr:colOff>
      <xdr:row>83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95</xdr:row>
      <xdr:rowOff>396874</xdr:rowOff>
    </xdr:from>
    <xdr:to>
      <xdr:col>31</xdr:col>
      <xdr:colOff>0</xdr:colOff>
      <xdr:row>104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114</xdr:row>
      <xdr:rowOff>79375</xdr:rowOff>
    </xdr:from>
    <xdr:to>
      <xdr:col>30</xdr:col>
      <xdr:colOff>2063750</xdr:colOff>
      <xdr:row>125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128</xdr:row>
      <xdr:rowOff>79375</xdr:rowOff>
    </xdr:from>
    <xdr:to>
      <xdr:col>31</xdr:col>
      <xdr:colOff>47625</xdr:colOff>
      <xdr:row>137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142</xdr:row>
      <xdr:rowOff>1</xdr:rowOff>
    </xdr:from>
    <xdr:to>
      <xdr:col>31</xdr:col>
      <xdr:colOff>79375</xdr:colOff>
      <xdr:row>143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169</xdr:row>
      <xdr:rowOff>1</xdr:rowOff>
    </xdr:from>
    <xdr:to>
      <xdr:col>30</xdr:col>
      <xdr:colOff>2063750</xdr:colOff>
      <xdr:row>176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109</xdr:row>
      <xdr:rowOff>0</xdr:rowOff>
    </xdr:from>
    <xdr:to>
      <xdr:col>30</xdr:col>
      <xdr:colOff>1923677</xdr:colOff>
      <xdr:row>110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57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110</xdr:row>
      <xdr:rowOff>0</xdr:rowOff>
    </xdr:from>
    <xdr:to>
      <xdr:col>30</xdr:col>
      <xdr:colOff>1923677</xdr:colOff>
      <xdr:row>111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204"/>
  <sheetViews>
    <sheetView tabSelected="1" topLeftCell="I163" zoomScale="10" zoomScaleNormal="10" zoomScaleSheetLayoutView="10" workbookViewId="0">
      <selection activeCell="AF174" sqref="AF174:AJ174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8.57031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38" t="s">
        <v>220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"/>
      <c r="AF1" s="1"/>
    </row>
    <row r="2" spans="1:40" s="4" customFormat="1" ht="138" customHeight="1" x14ac:dyDescent="2.35">
      <c r="B2" s="136" t="s">
        <v>0</v>
      </c>
      <c r="C2" s="134" t="s">
        <v>1</v>
      </c>
      <c r="D2" s="135"/>
      <c r="E2" s="134" t="s">
        <v>2</v>
      </c>
      <c r="F2" s="135"/>
      <c r="G2" s="134" t="s">
        <v>3</v>
      </c>
      <c r="H2" s="135"/>
      <c r="I2" s="134" t="s">
        <v>4</v>
      </c>
      <c r="J2" s="135"/>
      <c r="K2" s="134" t="s">
        <v>5</v>
      </c>
      <c r="L2" s="135"/>
      <c r="M2" s="134" t="s">
        <v>6</v>
      </c>
      <c r="N2" s="135"/>
      <c r="O2" s="134" t="s">
        <v>7</v>
      </c>
      <c r="P2" s="135"/>
      <c r="Q2" s="134" t="s">
        <v>8</v>
      </c>
      <c r="R2" s="135"/>
      <c r="S2" s="134" t="s">
        <v>9</v>
      </c>
      <c r="T2" s="135"/>
      <c r="U2" s="134" t="s">
        <v>10</v>
      </c>
      <c r="V2" s="135"/>
      <c r="W2" s="136" t="s">
        <v>11</v>
      </c>
      <c r="X2" s="142" t="s">
        <v>208</v>
      </c>
      <c r="Y2" s="136" t="s">
        <v>12</v>
      </c>
      <c r="Z2" s="136" t="s">
        <v>13</v>
      </c>
      <c r="AA2" s="136" t="s">
        <v>0</v>
      </c>
      <c r="AB2" s="140" t="s">
        <v>14</v>
      </c>
      <c r="AC2" s="141"/>
      <c r="AD2" s="6" t="s">
        <v>15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37"/>
      <c r="C3" s="9" t="s">
        <v>16</v>
      </c>
      <c r="D3" s="9" t="s">
        <v>17</v>
      </c>
      <c r="E3" s="9" t="s">
        <v>16</v>
      </c>
      <c r="F3" s="9" t="s">
        <v>17</v>
      </c>
      <c r="G3" s="9" t="s">
        <v>16</v>
      </c>
      <c r="H3" s="9" t="s">
        <v>17</v>
      </c>
      <c r="I3" s="9" t="s">
        <v>16</v>
      </c>
      <c r="J3" s="9" t="s">
        <v>17</v>
      </c>
      <c r="K3" s="9" t="s">
        <v>16</v>
      </c>
      <c r="L3" s="9" t="s">
        <v>17</v>
      </c>
      <c r="M3" s="9" t="s">
        <v>16</v>
      </c>
      <c r="N3" s="9" t="s">
        <v>17</v>
      </c>
      <c r="O3" s="9" t="s">
        <v>16</v>
      </c>
      <c r="P3" s="9" t="s">
        <v>17</v>
      </c>
      <c r="Q3" s="9" t="s">
        <v>16</v>
      </c>
      <c r="R3" s="9" t="s">
        <v>17</v>
      </c>
      <c r="S3" s="9" t="s">
        <v>16</v>
      </c>
      <c r="T3" s="9" t="s">
        <v>17</v>
      </c>
      <c r="U3" s="9" t="s">
        <v>16</v>
      </c>
      <c r="V3" s="9" t="s">
        <v>17</v>
      </c>
      <c r="W3" s="137"/>
      <c r="X3" s="143"/>
      <c r="Y3" s="137"/>
      <c r="Z3" s="137"/>
      <c r="AA3" s="137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18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144">
        <f>SUM(D9,F9,H9,J9,L9,,N9,P9,R9,T9,V9)</f>
        <v>0</v>
      </c>
      <c r="AA4" s="15" t="s">
        <v>18</v>
      </c>
      <c r="AC4" s="147">
        <f>SUM(Y4,AB5,AB6,AB7,AB8)</f>
        <v>0</v>
      </c>
      <c r="AD4" s="16">
        <f>X4</f>
        <v>0</v>
      </c>
      <c r="AE4" s="17"/>
      <c r="AF4" s="150" t="s">
        <v>19</v>
      </c>
      <c r="AG4" s="151"/>
      <c r="AH4" s="151"/>
      <c r="AI4" s="151"/>
      <c r="AJ4" s="152"/>
      <c r="AK4" s="156">
        <f>SUM(AD4:AD62)-AD20</f>
        <v>0</v>
      </c>
      <c r="AL4" s="157"/>
    </row>
    <row r="5" spans="1:40" s="12" customFormat="1" ht="110.25" customHeight="1" x14ac:dyDescent="2.1">
      <c r="B5" s="13" t="s">
        <v>20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145"/>
      <c r="AA5" s="13" t="s">
        <v>20</v>
      </c>
      <c r="AB5" s="21">
        <f>Y5*4</f>
        <v>0</v>
      </c>
      <c r="AC5" s="148"/>
      <c r="AD5" s="16">
        <f>X5</f>
        <v>0</v>
      </c>
      <c r="AE5" s="17"/>
      <c r="AF5" s="153"/>
      <c r="AG5" s="154"/>
      <c r="AH5" s="154"/>
      <c r="AI5" s="154"/>
      <c r="AJ5" s="155"/>
      <c r="AK5" s="158"/>
      <c r="AL5" s="157"/>
    </row>
    <row r="6" spans="1:40" s="12" customFormat="1" ht="110.25" customHeight="1" x14ac:dyDescent="2.1">
      <c r="B6" s="13" t="s">
        <v>21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145"/>
      <c r="AA6" s="15" t="s">
        <v>22</v>
      </c>
      <c r="AB6" s="21">
        <f>Y6*8</f>
        <v>0</v>
      </c>
      <c r="AC6" s="148"/>
      <c r="AD6" s="16">
        <f t="shared" ref="AD6:AD7" si="0">X6</f>
        <v>0</v>
      </c>
      <c r="AE6" s="17"/>
      <c r="AF6" s="153"/>
      <c r="AG6" s="154"/>
      <c r="AH6" s="154"/>
      <c r="AI6" s="154"/>
      <c r="AJ6" s="155"/>
      <c r="AK6" s="158"/>
      <c r="AL6" s="157"/>
    </row>
    <row r="7" spans="1:40" s="12" customFormat="1" ht="110.25" customHeight="1" x14ac:dyDescent="2.1">
      <c r="B7" s="13" t="s">
        <v>23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145"/>
      <c r="AA7" s="15" t="s">
        <v>24</v>
      </c>
      <c r="AB7" s="21">
        <f>Y7*12</f>
        <v>0</v>
      </c>
      <c r="AC7" s="148"/>
      <c r="AD7" s="16">
        <f t="shared" si="0"/>
        <v>0</v>
      </c>
      <c r="AE7" s="17"/>
      <c r="AF7" s="159">
        <f>SUM(AD4:AD8)</f>
        <v>0</v>
      </c>
      <c r="AG7" s="160"/>
      <c r="AH7" s="160"/>
      <c r="AI7" s="160"/>
      <c r="AJ7" s="161"/>
      <c r="AK7" s="158"/>
      <c r="AL7" s="157"/>
    </row>
    <row r="8" spans="1:40" s="12" customFormat="1" ht="146.25" x14ac:dyDescent="2.1">
      <c r="B8" s="13" t="s">
        <v>25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146"/>
      <c r="AA8" s="15" t="s">
        <v>26</v>
      </c>
      <c r="AB8" s="21">
        <f>Y8*16</f>
        <v>0</v>
      </c>
      <c r="AC8" s="149"/>
      <c r="AD8" s="16">
        <f>X8</f>
        <v>0</v>
      </c>
      <c r="AE8" s="17"/>
      <c r="AF8" s="26"/>
      <c r="AG8" s="27"/>
      <c r="AH8" s="27"/>
      <c r="AI8" s="27"/>
      <c r="AJ8" s="28"/>
      <c r="AK8" s="158"/>
      <c r="AL8" s="157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158"/>
      <c r="AL9" s="157"/>
      <c r="AM9" s="29"/>
      <c r="AN9" s="29"/>
    </row>
    <row r="10" spans="1:40" s="29" customFormat="1" ht="110.25" customHeight="1" x14ac:dyDescent="2.1">
      <c r="B10" s="37" t="s">
        <v>27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27</v>
      </c>
      <c r="AB10" s="162">
        <f>SUM(Y10:Y13)</f>
        <v>0</v>
      </c>
      <c r="AC10" s="165">
        <f>SUM(AB10,AB15)</f>
        <v>0</v>
      </c>
      <c r="AD10" s="16">
        <f>X10</f>
        <v>0</v>
      </c>
      <c r="AE10" s="17"/>
      <c r="AF10" s="168" t="s">
        <v>28</v>
      </c>
      <c r="AG10" s="169"/>
      <c r="AH10" s="169"/>
      <c r="AI10" s="169"/>
      <c r="AJ10" s="170"/>
      <c r="AK10" s="158"/>
      <c r="AL10" s="157"/>
      <c r="AM10" s="12"/>
      <c r="AN10" s="12"/>
    </row>
    <row r="11" spans="1:40" s="12" customFormat="1" ht="110.25" customHeight="1" x14ac:dyDescent="2.1">
      <c r="A11" s="12">
        <v>0</v>
      </c>
      <c r="B11" s="13" t="s">
        <v>29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29</v>
      </c>
      <c r="AB11" s="163"/>
      <c r="AC11" s="166"/>
      <c r="AD11" s="16">
        <f t="shared" ref="AD11:AD13" si="1">X11</f>
        <v>0</v>
      </c>
      <c r="AE11" s="17"/>
      <c r="AF11" s="171"/>
      <c r="AG11" s="160"/>
      <c r="AH11" s="160"/>
      <c r="AI11" s="160"/>
      <c r="AJ11" s="161"/>
      <c r="AK11" s="158"/>
      <c r="AL11" s="157"/>
    </row>
    <row r="12" spans="1:40" s="12" customFormat="1" ht="108.75" customHeight="1" x14ac:dyDescent="2.1">
      <c r="B12" s="13" t="s">
        <v>30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30</v>
      </c>
      <c r="AB12" s="163"/>
      <c r="AC12" s="166"/>
      <c r="AD12" s="16">
        <f t="shared" si="1"/>
        <v>0</v>
      </c>
      <c r="AE12" s="17"/>
      <c r="AF12" s="171"/>
      <c r="AG12" s="160"/>
      <c r="AH12" s="160"/>
      <c r="AI12" s="160"/>
      <c r="AJ12" s="161"/>
      <c r="AK12" s="158"/>
      <c r="AL12" s="157"/>
    </row>
    <row r="13" spans="1:40" s="12" customFormat="1" ht="110.25" customHeight="1" x14ac:dyDescent="2.1">
      <c r="B13" s="13" t="s">
        <v>31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31</v>
      </c>
      <c r="AB13" s="164"/>
      <c r="AC13" s="166"/>
      <c r="AD13" s="16">
        <f t="shared" si="1"/>
        <v>0</v>
      </c>
      <c r="AE13" s="17"/>
      <c r="AF13" s="171"/>
      <c r="AG13" s="160"/>
      <c r="AH13" s="160"/>
      <c r="AI13" s="160"/>
      <c r="AJ13" s="161"/>
      <c r="AK13" s="158"/>
      <c r="AL13" s="157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166"/>
      <c r="AD14" s="33"/>
      <c r="AE14" s="17"/>
      <c r="AF14" s="171"/>
      <c r="AG14" s="160"/>
      <c r="AH14" s="160"/>
      <c r="AI14" s="160"/>
      <c r="AJ14" s="161"/>
      <c r="AK14" s="158"/>
      <c r="AL14" s="157"/>
    </row>
    <row r="15" spans="1:40" s="12" customFormat="1" ht="110.25" customHeight="1" x14ac:dyDescent="2.1">
      <c r="B15" s="13" t="s">
        <v>32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32</v>
      </c>
      <c r="AB15" s="162">
        <f>SUM(Y15:Y18)</f>
        <v>0</v>
      </c>
      <c r="AC15" s="166"/>
      <c r="AD15" s="16">
        <f>X15</f>
        <v>0</v>
      </c>
      <c r="AE15" s="17"/>
      <c r="AF15" s="159">
        <f>SUM(AD10:AD20)-AD20</f>
        <v>0</v>
      </c>
      <c r="AG15" s="160"/>
      <c r="AH15" s="160"/>
      <c r="AI15" s="160"/>
      <c r="AJ15" s="161"/>
      <c r="AK15" s="158"/>
      <c r="AL15" s="157"/>
    </row>
    <row r="16" spans="1:40" s="12" customFormat="1" ht="110.25" customHeight="1" x14ac:dyDescent="2.1">
      <c r="B16" s="13" t="s">
        <v>33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33</v>
      </c>
      <c r="AB16" s="163"/>
      <c r="AC16" s="166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158"/>
      <c r="AL16" s="157"/>
    </row>
    <row r="17" spans="1:38" s="12" customFormat="1" ht="110.25" customHeight="1" x14ac:dyDescent="2.1">
      <c r="B17" s="13" t="s">
        <v>34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34</v>
      </c>
      <c r="AB17" s="163"/>
      <c r="AC17" s="166"/>
      <c r="AD17" s="16">
        <f t="shared" si="5"/>
        <v>0</v>
      </c>
      <c r="AE17" s="17"/>
      <c r="AF17" s="26"/>
      <c r="AG17" s="27"/>
      <c r="AH17" s="27"/>
      <c r="AI17" s="27"/>
      <c r="AJ17" s="28"/>
      <c r="AK17" s="158"/>
      <c r="AL17" s="157"/>
    </row>
    <row r="18" spans="1:38" s="12" customFormat="1" ht="110.25" customHeight="1" x14ac:dyDescent="2.1">
      <c r="B18" s="13" t="s">
        <v>35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35</v>
      </c>
      <c r="AB18" s="163"/>
      <c r="AC18" s="166"/>
      <c r="AD18" s="16">
        <f t="shared" si="5"/>
        <v>0</v>
      </c>
      <c r="AE18" s="17"/>
      <c r="AF18" s="26"/>
      <c r="AG18" s="27"/>
      <c r="AH18" s="27"/>
      <c r="AI18" s="27"/>
      <c r="AJ18" s="28"/>
      <c r="AK18" s="158"/>
      <c r="AL18" s="157"/>
    </row>
    <row r="19" spans="1:38" s="12" customFormat="1" ht="110.25" customHeight="1" x14ac:dyDescent="2.1">
      <c r="B19" s="13" t="s">
        <v>36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36</v>
      </c>
      <c r="AB19" s="163"/>
      <c r="AC19" s="166"/>
      <c r="AD19" s="16">
        <f t="shared" si="5"/>
        <v>0</v>
      </c>
      <c r="AE19" s="17"/>
      <c r="AF19" s="26"/>
      <c r="AG19" s="27"/>
      <c r="AH19" s="27"/>
      <c r="AI19" s="27"/>
      <c r="AJ19" s="28"/>
      <c r="AK19" s="158"/>
      <c r="AL19" s="157"/>
    </row>
    <row r="20" spans="1:38" s="12" customFormat="1" ht="110.25" customHeight="1" thickBot="1" x14ac:dyDescent="2.15">
      <c r="B20" s="13" t="s">
        <v>37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37</v>
      </c>
      <c r="AB20" s="164"/>
      <c r="AC20" s="167"/>
      <c r="AD20" s="16">
        <f t="shared" si="5"/>
        <v>0</v>
      </c>
      <c r="AE20" s="17"/>
      <c r="AF20" s="26"/>
      <c r="AG20" s="27"/>
      <c r="AH20" s="27"/>
      <c r="AI20" s="27"/>
      <c r="AJ20" s="28"/>
      <c r="AK20" s="158"/>
      <c r="AL20" s="157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87"/>
      <c r="AC21" s="188"/>
      <c r="AD21" s="33"/>
      <c r="AE21" s="17"/>
      <c r="AF21" s="168" t="s">
        <v>38</v>
      </c>
      <c r="AG21" s="169"/>
      <c r="AH21" s="169"/>
      <c r="AI21" s="169"/>
      <c r="AJ21" s="170"/>
      <c r="AK21" s="158"/>
      <c r="AL21" s="157"/>
    </row>
    <row r="22" spans="1:38" s="12" customFormat="1" ht="110.25" customHeight="1" x14ac:dyDescent="2.1">
      <c r="B22" s="13" t="s">
        <v>39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39</v>
      </c>
      <c r="AB22" s="189"/>
      <c r="AC22" s="190"/>
      <c r="AD22" s="16">
        <f>X22</f>
        <v>0</v>
      </c>
      <c r="AE22" s="17"/>
      <c r="AF22" s="191">
        <f>SUM(AD22:AE22)</f>
        <v>0</v>
      </c>
      <c r="AG22" s="192"/>
      <c r="AH22" s="192"/>
      <c r="AI22" s="192"/>
      <c r="AJ22" s="193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78"/>
      <c r="AC23" s="179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40</v>
      </c>
      <c r="AB24" s="180">
        <f>SUM(Y24:Y25)</f>
        <v>0</v>
      </c>
      <c r="AC24" s="181"/>
      <c r="AD24" s="16">
        <f t="shared" si="8"/>
        <v>0</v>
      </c>
      <c r="AE24" s="17"/>
      <c r="AF24" s="184" t="s">
        <v>41</v>
      </c>
      <c r="AG24" s="185"/>
      <c r="AH24" s="185"/>
      <c r="AI24" s="185"/>
      <c r="AJ24" s="186"/>
      <c r="AK24" s="172" t="s">
        <v>42</v>
      </c>
      <c r="AL24" s="173"/>
    </row>
    <row r="25" spans="1:38" s="12" customFormat="1" ht="110.25" customHeight="1" thickBot="1" x14ac:dyDescent="2.15">
      <c r="A25" s="12">
        <v>0</v>
      </c>
      <c r="B25" s="13" t="s">
        <v>43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43</v>
      </c>
      <c r="AB25" s="182"/>
      <c r="AC25" s="183"/>
      <c r="AD25" s="16">
        <f t="shared" si="8"/>
        <v>0</v>
      </c>
      <c r="AE25" s="17"/>
      <c r="AF25" s="175">
        <f>SUM(AD24:AD25)</f>
        <v>0</v>
      </c>
      <c r="AG25" s="176"/>
      <c r="AH25" s="176"/>
      <c r="AI25" s="176"/>
      <c r="AJ25" s="177"/>
      <c r="AK25" s="172"/>
      <c r="AL25" s="173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78"/>
      <c r="AC26" s="179"/>
      <c r="AD26" s="16">
        <f t="shared" si="8"/>
        <v>0</v>
      </c>
      <c r="AE26" s="17"/>
      <c r="AF26" s="44"/>
      <c r="AG26" s="45"/>
      <c r="AH26" s="45"/>
      <c r="AI26" s="45"/>
      <c r="AJ26" s="46"/>
      <c r="AK26" s="172"/>
      <c r="AL26" s="173"/>
    </row>
    <row r="27" spans="1:38" s="12" customFormat="1" ht="110.25" customHeight="1" x14ac:dyDescent="2.1">
      <c r="A27" s="12">
        <v>0</v>
      </c>
      <c r="B27" s="13" t="s">
        <v>44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44</v>
      </c>
      <c r="AB27" s="180">
        <f>SUM(Y26:Y28)</f>
        <v>0</v>
      </c>
      <c r="AC27" s="181"/>
      <c r="AD27" s="16">
        <f t="shared" si="8"/>
        <v>0</v>
      </c>
      <c r="AE27" s="17"/>
      <c r="AF27" s="184" t="s">
        <v>45</v>
      </c>
      <c r="AG27" s="185"/>
      <c r="AH27" s="185"/>
      <c r="AI27" s="185"/>
      <c r="AJ27" s="186"/>
      <c r="AK27" s="172"/>
      <c r="AL27" s="173"/>
    </row>
    <row r="28" spans="1:38" s="12" customFormat="1" ht="110.25" customHeight="1" thickBot="1" x14ac:dyDescent="2.15">
      <c r="A28" s="12">
        <v>0</v>
      </c>
      <c r="B28" s="13" t="s">
        <v>46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46</v>
      </c>
      <c r="AB28" s="182"/>
      <c r="AC28" s="183"/>
      <c r="AD28" s="16">
        <f t="shared" si="8"/>
        <v>0</v>
      </c>
      <c r="AE28" s="17"/>
      <c r="AF28" s="175">
        <f>+AD27+AD31</f>
        <v>0</v>
      </c>
      <c r="AG28" s="176"/>
      <c r="AH28" s="176"/>
      <c r="AI28" s="176"/>
      <c r="AJ28" s="177"/>
      <c r="AK28" s="172"/>
      <c r="AL28" s="173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78"/>
      <c r="AC29" s="179"/>
      <c r="AD29" s="16">
        <f t="shared" si="8"/>
        <v>0</v>
      </c>
      <c r="AE29" s="17"/>
      <c r="AF29" s="44"/>
      <c r="AG29" s="45"/>
      <c r="AH29" s="45"/>
      <c r="AI29" s="45"/>
      <c r="AJ29" s="45"/>
      <c r="AK29" s="172"/>
      <c r="AL29" s="173"/>
    </row>
    <row r="30" spans="1:38" s="12" customFormat="1" ht="110.25" customHeight="1" x14ac:dyDescent="2.1">
      <c r="A30" s="12">
        <v>0</v>
      </c>
      <c r="B30" s="13" t="s">
        <v>47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47</v>
      </c>
      <c r="AB30" s="180">
        <f>SUM(Y29:Y31)</f>
        <v>0</v>
      </c>
      <c r="AC30" s="181"/>
      <c r="AD30" s="16">
        <f t="shared" si="8"/>
        <v>0</v>
      </c>
      <c r="AE30" s="17"/>
      <c r="AF30" s="184" t="s">
        <v>48</v>
      </c>
      <c r="AG30" s="185"/>
      <c r="AH30" s="185"/>
      <c r="AI30" s="185"/>
      <c r="AJ30" s="185"/>
      <c r="AK30" s="172"/>
      <c r="AL30" s="173"/>
    </row>
    <row r="31" spans="1:38" s="12" customFormat="1" ht="110.25" customHeight="1" thickBot="1" x14ac:dyDescent="2.15">
      <c r="A31" s="12">
        <v>0</v>
      </c>
      <c r="B31" s="13" t="s">
        <v>49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49</v>
      </c>
      <c r="AB31" s="182"/>
      <c r="AC31" s="183"/>
      <c r="AD31" s="16">
        <f t="shared" si="8"/>
        <v>0</v>
      </c>
      <c r="AE31" s="17"/>
      <c r="AF31" s="175">
        <f>+AD30+AD31</f>
        <v>0</v>
      </c>
      <c r="AG31" s="176"/>
      <c r="AH31" s="176"/>
      <c r="AI31" s="176"/>
      <c r="AJ31" s="177"/>
      <c r="AK31" s="172"/>
      <c r="AL31" s="173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78"/>
      <c r="AC32" s="179"/>
      <c r="AD32" s="16">
        <f t="shared" si="8"/>
        <v>0</v>
      </c>
      <c r="AE32" s="17"/>
      <c r="AF32" s="44"/>
      <c r="AG32" s="45"/>
      <c r="AH32" s="45"/>
      <c r="AI32" s="45"/>
      <c r="AJ32" s="45"/>
      <c r="AK32" s="172"/>
      <c r="AL32" s="173"/>
    </row>
    <row r="33" spans="1:40" s="12" customFormat="1" ht="110.25" customHeight="1" x14ac:dyDescent="2.1">
      <c r="A33" s="12">
        <v>0</v>
      </c>
      <c r="B33" s="13" t="s">
        <v>50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50</v>
      </c>
      <c r="AB33" s="180">
        <f>SUM(Y32:Y34)</f>
        <v>0</v>
      </c>
      <c r="AC33" s="181"/>
      <c r="AD33" s="16">
        <f t="shared" si="8"/>
        <v>0</v>
      </c>
      <c r="AE33" s="17"/>
      <c r="AF33" s="184" t="s">
        <v>51</v>
      </c>
      <c r="AG33" s="185"/>
      <c r="AH33" s="185"/>
      <c r="AI33" s="185"/>
      <c r="AJ33" s="185"/>
      <c r="AK33" s="172"/>
      <c r="AL33" s="173"/>
    </row>
    <row r="34" spans="1:40" s="12" customFormat="1" ht="110.25" customHeight="1" thickBot="1" x14ac:dyDescent="2.15">
      <c r="A34" s="12">
        <v>0</v>
      </c>
      <c r="B34" s="13" t="s">
        <v>52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52</v>
      </c>
      <c r="AB34" s="182"/>
      <c r="AC34" s="183"/>
      <c r="AD34" s="16">
        <f t="shared" si="8"/>
        <v>0</v>
      </c>
      <c r="AE34" s="17"/>
      <c r="AF34" s="175">
        <f>+AD33+AD34</f>
        <v>0</v>
      </c>
      <c r="AG34" s="176"/>
      <c r="AH34" s="176"/>
      <c r="AI34" s="176"/>
      <c r="AJ34" s="177"/>
      <c r="AK34" s="172"/>
      <c r="AL34" s="173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78"/>
      <c r="AC35" s="179"/>
      <c r="AD35" s="16">
        <f t="shared" si="8"/>
        <v>0</v>
      </c>
      <c r="AE35" s="17"/>
      <c r="AF35" s="44"/>
      <c r="AG35" s="45"/>
      <c r="AH35" s="45"/>
      <c r="AI35" s="45"/>
      <c r="AJ35" s="45"/>
      <c r="AK35" s="172"/>
      <c r="AL35" s="173"/>
    </row>
    <row r="36" spans="1:40" s="12" customFormat="1" ht="110.25" customHeight="1" x14ac:dyDescent="2.1">
      <c r="B36" s="13" t="s">
        <v>53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53</v>
      </c>
      <c r="AB36" s="180">
        <f>SUM(Y35:Y37)</f>
        <v>0</v>
      </c>
      <c r="AC36" s="181"/>
      <c r="AD36" s="16">
        <f t="shared" si="8"/>
        <v>0</v>
      </c>
      <c r="AE36" s="17"/>
      <c r="AF36" s="184" t="s">
        <v>54</v>
      </c>
      <c r="AG36" s="185"/>
      <c r="AH36" s="185"/>
      <c r="AI36" s="185"/>
      <c r="AJ36" s="185"/>
      <c r="AK36" s="172"/>
      <c r="AL36" s="173"/>
    </row>
    <row r="37" spans="1:40" s="12" customFormat="1" ht="110.25" customHeight="1" thickBot="1" x14ac:dyDescent="2.15">
      <c r="B37" s="13" t="s">
        <v>55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55</v>
      </c>
      <c r="AB37" s="182"/>
      <c r="AC37" s="183"/>
      <c r="AD37" s="16">
        <f t="shared" si="8"/>
        <v>0</v>
      </c>
      <c r="AE37" s="17"/>
      <c r="AF37" s="175">
        <f>+AD36+AD37</f>
        <v>0</v>
      </c>
      <c r="AG37" s="176"/>
      <c r="AH37" s="176"/>
      <c r="AI37" s="176"/>
      <c r="AJ37" s="177"/>
      <c r="AK37" s="172"/>
      <c r="AL37" s="173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78"/>
      <c r="AC38" s="179"/>
      <c r="AD38" s="16">
        <f t="shared" si="8"/>
        <v>0</v>
      </c>
      <c r="AE38" s="17"/>
      <c r="AF38" s="45"/>
      <c r="AG38" s="45"/>
      <c r="AH38" s="45"/>
      <c r="AI38" s="45"/>
      <c r="AJ38" s="45"/>
      <c r="AK38" s="172"/>
      <c r="AL38" s="173"/>
      <c r="AM38" s="47"/>
      <c r="AN38" s="47"/>
    </row>
    <row r="39" spans="1:40" s="12" customFormat="1" ht="146.25" x14ac:dyDescent="2.1">
      <c r="B39" s="13" t="s">
        <v>56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56</v>
      </c>
      <c r="AB39" s="178"/>
      <c r="AC39" s="179"/>
      <c r="AD39" s="16">
        <f t="shared" si="8"/>
        <v>0</v>
      </c>
      <c r="AE39" s="17"/>
      <c r="AF39" s="45"/>
      <c r="AG39" s="45"/>
      <c r="AH39" s="45"/>
      <c r="AI39" s="45"/>
      <c r="AJ39" s="45"/>
      <c r="AK39" s="172"/>
      <c r="AL39" s="173"/>
      <c r="AM39" s="47"/>
      <c r="AN39" s="47"/>
    </row>
    <row r="40" spans="1:40" s="4" customFormat="1" ht="132" customHeight="1" x14ac:dyDescent="2.1">
      <c r="B40" s="48" t="s">
        <v>57</v>
      </c>
      <c r="C40" s="134" t="s">
        <v>1</v>
      </c>
      <c r="D40" s="135"/>
      <c r="E40" s="134" t="s">
        <v>2</v>
      </c>
      <c r="F40" s="135"/>
      <c r="G40" s="134" t="s">
        <v>3</v>
      </c>
      <c r="H40" s="135"/>
      <c r="I40" s="134" t="s">
        <v>4</v>
      </c>
      <c r="J40" s="135"/>
      <c r="K40" s="134" t="s">
        <v>5</v>
      </c>
      <c r="L40" s="135"/>
      <c r="M40" s="134" t="s">
        <v>6</v>
      </c>
      <c r="N40" s="135"/>
      <c r="O40" s="134" t="s">
        <v>7</v>
      </c>
      <c r="P40" s="135"/>
      <c r="Q40" s="134" t="s">
        <v>8</v>
      </c>
      <c r="R40" s="135"/>
      <c r="S40" s="134" t="s">
        <v>9</v>
      </c>
      <c r="T40" s="135"/>
      <c r="U40" s="134" t="s">
        <v>10</v>
      </c>
      <c r="V40" s="135"/>
      <c r="W40" s="5" t="s">
        <v>11</v>
      </c>
      <c r="X40" s="117"/>
      <c r="Y40" s="49" t="s">
        <v>12</v>
      </c>
      <c r="Z40" s="49" t="s">
        <v>13</v>
      </c>
      <c r="AA40" s="48" t="s">
        <v>57</v>
      </c>
      <c r="AB40" s="140"/>
      <c r="AC40" s="141"/>
      <c r="AD40" s="6">
        <v>0</v>
      </c>
      <c r="AE40" s="7"/>
      <c r="AF40" s="2"/>
      <c r="AG40" s="2"/>
      <c r="AH40" s="2"/>
      <c r="AI40" s="2"/>
      <c r="AJ40" s="2"/>
      <c r="AK40" s="172"/>
      <c r="AL40" s="173"/>
      <c r="AM40" s="12"/>
      <c r="AN40" s="12"/>
    </row>
    <row r="41" spans="1:40" s="47" customFormat="1" ht="147" thickBot="1" x14ac:dyDescent="2.15">
      <c r="A41" s="12"/>
      <c r="B41" s="13" t="s">
        <v>58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4" si="14">SUM(C41,E41,G41,I41,K41,,M41,O41,Q41,S41,U41,W41)</f>
        <v>0</v>
      </c>
      <c r="Z41" s="14">
        <f t="shared" ref="Z41:Z54" si="15">SUM(D41,F41,H41,J41,L41,,N41,P41,R41,T41,V41)</f>
        <v>0</v>
      </c>
      <c r="AA41" s="13" t="s">
        <v>58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172"/>
      <c r="AL41" s="173"/>
    </row>
    <row r="42" spans="1:40" s="47" customFormat="1" ht="146.25" x14ac:dyDescent="2.1">
      <c r="A42" s="12"/>
      <c r="B42" s="13" t="s">
        <v>59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59</v>
      </c>
      <c r="AB42" s="194">
        <f>SUM(Y40:Y54)</f>
        <v>0</v>
      </c>
      <c r="AC42" s="195"/>
      <c r="AD42" s="16">
        <f t="shared" ref="AD42:AD62" si="16">X42</f>
        <v>0</v>
      </c>
      <c r="AE42" s="17"/>
      <c r="AF42" s="184" t="s">
        <v>60</v>
      </c>
      <c r="AG42" s="185"/>
      <c r="AH42" s="185"/>
      <c r="AI42" s="185"/>
      <c r="AJ42" s="186"/>
      <c r="AK42" s="174"/>
      <c r="AL42" s="173"/>
    </row>
    <row r="43" spans="1:40" s="47" customFormat="1" ht="110.25" customHeight="1" x14ac:dyDescent="2.1">
      <c r="A43" s="12"/>
      <c r="B43" s="13" t="s">
        <v>61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61</v>
      </c>
      <c r="AB43" s="194"/>
      <c r="AC43" s="195"/>
      <c r="AD43" s="16">
        <f t="shared" si="16"/>
        <v>0</v>
      </c>
      <c r="AE43" s="17"/>
      <c r="AF43" s="53"/>
      <c r="AG43" s="54"/>
      <c r="AH43" s="54"/>
      <c r="AI43" s="54"/>
      <c r="AJ43" s="55"/>
      <c r="AK43" s="174"/>
      <c r="AL43" s="173"/>
    </row>
    <row r="44" spans="1:40" s="47" customFormat="1" ht="110.25" customHeight="1" x14ac:dyDescent="2.1">
      <c r="A44" s="12"/>
      <c r="B44" s="13" t="s">
        <v>62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62</v>
      </c>
      <c r="AB44" s="194"/>
      <c r="AC44" s="195"/>
      <c r="AD44" s="16">
        <f t="shared" si="16"/>
        <v>0</v>
      </c>
      <c r="AE44" s="17"/>
      <c r="AF44" s="53"/>
      <c r="AG44" s="54"/>
      <c r="AH44" s="54"/>
      <c r="AI44" s="54"/>
      <c r="AJ44" s="55"/>
      <c r="AK44" s="174"/>
      <c r="AL44" s="173"/>
    </row>
    <row r="45" spans="1:40" s="47" customFormat="1" ht="110.25" customHeight="1" x14ac:dyDescent="2.1">
      <c r="A45" s="12"/>
      <c r="B45" s="13" t="s">
        <v>63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63</v>
      </c>
      <c r="AB45" s="194"/>
      <c r="AC45" s="195"/>
      <c r="AD45" s="16">
        <f t="shared" si="16"/>
        <v>0</v>
      </c>
      <c r="AE45" s="17"/>
      <c r="AF45" s="53"/>
      <c r="AG45" s="54"/>
      <c r="AH45" s="54"/>
      <c r="AI45" s="54"/>
      <c r="AJ45" s="55"/>
      <c r="AK45" s="174"/>
      <c r="AL45" s="173"/>
    </row>
    <row r="46" spans="1:40" s="47" customFormat="1" ht="110.25" customHeight="1" x14ac:dyDescent="2.1">
      <c r="A46" s="12"/>
      <c r="B46" s="13" t="s">
        <v>64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64</v>
      </c>
      <c r="AB46" s="194"/>
      <c r="AC46" s="195"/>
      <c r="AD46" s="16">
        <f t="shared" si="16"/>
        <v>0</v>
      </c>
      <c r="AE46" s="17"/>
      <c r="AF46" s="53"/>
      <c r="AG46" s="54"/>
      <c r="AH46" s="54"/>
      <c r="AI46" s="54"/>
      <c r="AJ46" s="55"/>
      <c r="AK46" s="174"/>
      <c r="AL46" s="173"/>
    </row>
    <row r="47" spans="1:40" s="47" customFormat="1" ht="110.25" customHeight="1" x14ac:dyDescent="2.1">
      <c r="A47" s="12"/>
      <c r="B47" s="13" t="s">
        <v>65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65</v>
      </c>
      <c r="AB47" s="194"/>
      <c r="AC47" s="195"/>
      <c r="AD47" s="16">
        <f t="shared" si="16"/>
        <v>0</v>
      </c>
      <c r="AE47" s="17"/>
      <c r="AF47" s="196">
        <f>SUM(AD41:AD54)</f>
        <v>0</v>
      </c>
      <c r="AG47" s="197"/>
      <c r="AH47" s="197"/>
      <c r="AI47" s="197"/>
      <c r="AJ47" s="198"/>
      <c r="AK47" s="174"/>
      <c r="AL47" s="173"/>
    </row>
    <row r="48" spans="1:40" s="47" customFormat="1" ht="123.75" customHeight="1" x14ac:dyDescent="2.1">
      <c r="A48" s="12"/>
      <c r="B48" s="13" t="s">
        <v>66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66</v>
      </c>
      <c r="AB48" s="194"/>
      <c r="AC48" s="195"/>
      <c r="AD48" s="16">
        <f t="shared" si="16"/>
        <v>0</v>
      </c>
      <c r="AE48" s="17"/>
      <c r="AF48" s="53"/>
      <c r="AG48" s="54"/>
      <c r="AH48" s="54"/>
      <c r="AI48" s="54"/>
      <c r="AJ48" s="55"/>
      <c r="AK48" s="174"/>
      <c r="AL48" s="173"/>
    </row>
    <row r="49" spans="1:40" s="47" customFormat="1" ht="146.25" customHeight="1" x14ac:dyDescent="2.1">
      <c r="A49" s="12"/>
      <c r="B49" s="13" t="s">
        <v>67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67</v>
      </c>
      <c r="AB49" s="194"/>
      <c r="AC49" s="195"/>
      <c r="AD49" s="16">
        <f t="shared" si="16"/>
        <v>0</v>
      </c>
      <c r="AE49" s="17"/>
      <c r="AF49" s="53"/>
      <c r="AG49" s="54"/>
      <c r="AH49" s="54"/>
      <c r="AI49" s="54"/>
      <c r="AJ49" s="55"/>
      <c r="AK49" s="174"/>
      <c r="AL49" s="173"/>
    </row>
    <row r="50" spans="1:40" s="47" customFormat="1" ht="146.25" customHeight="1" x14ac:dyDescent="2.1">
      <c r="A50" s="12"/>
      <c r="B50" s="13" t="s">
        <v>222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222</v>
      </c>
      <c r="AB50" s="194"/>
      <c r="AC50" s="195"/>
      <c r="AD50" s="16">
        <f>X50</f>
        <v>0</v>
      </c>
      <c r="AE50" s="17"/>
      <c r="AF50" s="53"/>
      <c r="AG50" s="54"/>
      <c r="AH50" s="54"/>
      <c r="AI50" s="54"/>
      <c r="AJ50" s="55"/>
      <c r="AK50" s="174"/>
      <c r="AL50" s="173"/>
    </row>
    <row r="51" spans="1:40" s="47" customFormat="1" ht="108.75" customHeight="1" x14ac:dyDescent="2.1">
      <c r="A51" s="12"/>
      <c r="B51" s="13" t="s">
        <v>68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6">
        <v>0</v>
      </c>
      <c r="Y51" s="14">
        <f t="shared" si="14"/>
        <v>0</v>
      </c>
      <c r="Z51" s="14">
        <f t="shared" si="15"/>
        <v>0</v>
      </c>
      <c r="AA51" s="13" t="s">
        <v>68</v>
      </c>
      <c r="AB51" s="194"/>
      <c r="AC51" s="195"/>
      <c r="AD51" s="16">
        <f t="shared" si="16"/>
        <v>0</v>
      </c>
      <c r="AE51" s="17"/>
      <c r="AF51" s="53"/>
      <c r="AG51" s="54"/>
      <c r="AH51" s="54"/>
      <c r="AI51" s="54"/>
      <c r="AJ51" s="55"/>
      <c r="AK51" s="174"/>
      <c r="AL51" s="173"/>
    </row>
    <row r="52" spans="1:40" s="47" customFormat="1" ht="146.25" x14ac:dyDescent="2.1">
      <c r="A52" s="12"/>
      <c r="B52" s="13" t="s">
        <v>69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69</v>
      </c>
      <c r="AB52" s="194"/>
      <c r="AC52" s="195"/>
      <c r="AD52" s="16">
        <f t="shared" si="16"/>
        <v>0</v>
      </c>
      <c r="AE52" s="17"/>
      <c r="AF52" s="53"/>
      <c r="AG52" s="54"/>
      <c r="AH52" s="54"/>
      <c r="AI52" s="54"/>
      <c r="AJ52" s="55"/>
      <c r="AK52" s="174"/>
      <c r="AL52" s="173"/>
    </row>
    <row r="53" spans="1:40" s="47" customFormat="1" ht="146.25" customHeight="1" x14ac:dyDescent="2.1">
      <c r="A53" s="12"/>
      <c r="B53" s="13" t="s">
        <v>70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70</v>
      </c>
      <c r="AB53" s="59"/>
      <c r="AC53" s="60"/>
      <c r="AD53" s="16">
        <f t="shared" si="16"/>
        <v>0</v>
      </c>
      <c r="AE53" s="17"/>
      <c r="AF53" s="53"/>
      <c r="AG53" s="54"/>
      <c r="AH53" s="54"/>
      <c r="AI53" s="54"/>
      <c r="AJ53" s="55"/>
      <c r="AK53" s="174"/>
      <c r="AL53" s="173"/>
    </row>
    <row r="54" spans="1:40" s="47" customFormat="1" ht="108.75" customHeight="1" thickBot="1" x14ac:dyDescent="2.15">
      <c r="A54" s="12"/>
      <c r="B54" s="13" t="s">
        <v>71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2">
        <v>0</v>
      </c>
      <c r="Y54" s="14">
        <f t="shared" si="14"/>
        <v>0</v>
      </c>
      <c r="Z54" s="14">
        <f t="shared" si="15"/>
        <v>0</v>
      </c>
      <c r="AA54" s="13" t="s">
        <v>71</v>
      </c>
      <c r="AB54" s="59"/>
      <c r="AC54" s="60"/>
      <c r="AD54" s="16">
        <f t="shared" si="16"/>
        <v>0</v>
      </c>
      <c r="AE54" s="17"/>
      <c r="AF54" s="61"/>
      <c r="AG54" s="62"/>
      <c r="AH54" s="62"/>
      <c r="AI54" s="62"/>
      <c r="AJ54" s="63"/>
      <c r="AK54" s="174"/>
      <c r="AL54" s="173"/>
    </row>
    <row r="55" spans="1:40" s="47" customFormat="1" ht="110.25" customHeight="1" x14ac:dyDescent="2.1">
      <c r="A55" s="12"/>
      <c r="B55" s="13"/>
      <c r="C55" s="30">
        <f t="shared" ref="C55:W55" si="17">SUM(C41:C54)</f>
        <v>0</v>
      </c>
      <c r="D55" s="30">
        <f t="shared" si="17"/>
        <v>0</v>
      </c>
      <c r="E55" s="30">
        <f t="shared" si="17"/>
        <v>0</v>
      </c>
      <c r="F55" s="30">
        <f t="shared" si="17"/>
        <v>0</v>
      </c>
      <c r="G55" s="30">
        <f t="shared" si="17"/>
        <v>0</v>
      </c>
      <c r="H55" s="30">
        <f t="shared" si="17"/>
        <v>0</v>
      </c>
      <c r="I55" s="30">
        <f t="shared" si="17"/>
        <v>0</v>
      </c>
      <c r="J55" s="30">
        <f t="shared" si="17"/>
        <v>0</v>
      </c>
      <c r="K55" s="30">
        <f t="shared" si="17"/>
        <v>0</v>
      </c>
      <c r="L55" s="30">
        <f t="shared" si="17"/>
        <v>0</v>
      </c>
      <c r="M55" s="30">
        <f t="shared" si="17"/>
        <v>0</v>
      </c>
      <c r="N55" s="30">
        <f t="shared" si="17"/>
        <v>0</v>
      </c>
      <c r="O55" s="30">
        <f t="shared" si="17"/>
        <v>0</v>
      </c>
      <c r="P55" s="30">
        <f t="shared" si="17"/>
        <v>0</v>
      </c>
      <c r="Q55" s="30">
        <f t="shared" si="17"/>
        <v>0</v>
      </c>
      <c r="R55" s="30">
        <f t="shared" si="17"/>
        <v>0</v>
      </c>
      <c r="S55" s="30">
        <f t="shared" si="17"/>
        <v>0</v>
      </c>
      <c r="T55" s="30">
        <f t="shared" si="17"/>
        <v>0</v>
      </c>
      <c r="U55" s="30">
        <f t="shared" si="17"/>
        <v>0</v>
      </c>
      <c r="V55" s="30">
        <f t="shared" si="17"/>
        <v>0</v>
      </c>
      <c r="W55" s="30">
        <f t="shared" si="17"/>
        <v>0</v>
      </c>
      <c r="X55" s="113">
        <v>0</v>
      </c>
      <c r="Y55" s="14"/>
      <c r="Z55" s="14"/>
      <c r="AA55" s="13"/>
      <c r="AB55" s="189"/>
      <c r="AC55" s="190"/>
      <c r="AD55" s="16">
        <f t="shared" si="16"/>
        <v>0</v>
      </c>
      <c r="AE55" s="17"/>
      <c r="AF55" s="54"/>
      <c r="AG55" s="54"/>
      <c r="AH55" s="54"/>
      <c r="AI55" s="54"/>
      <c r="AJ55" s="54"/>
      <c r="AK55" s="172"/>
      <c r="AL55" s="173"/>
    </row>
    <row r="56" spans="1:40" s="47" customFormat="1" ht="110.25" customHeight="1" x14ac:dyDescent="2.1">
      <c r="A56" s="12"/>
      <c r="B56" s="13" t="s">
        <v>218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13">
        <v>0</v>
      </c>
      <c r="Y56" s="14">
        <f>SUM(C56,E56,G56,I56,K56,,M56,O56,Q56,S56,U56,W56)</f>
        <v>0</v>
      </c>
      <c r="Z56" s="14">
        <f>SUM(D56,F56,H56,J56,L56,,N56,P56,R56,T56,V56)</f>
        <v>0</v>
      </c>
      <c r="AA56" s="13" t="s">
        <v>218</v>
      </c>
      <c r="AB56" s="128"/>
      <c r="AC56" s="129"/>
      <c r="AD56" s="16">
        <f>X56</f>
        <v>0</v>
      </c>
      <c r="AE56" s="17"/>
      <c r="AF56" s="54"/>
      <c r="AG56" s="54"/>
      <c r="AH56" s="54"/>
      <c r="AI56" s="54"/>
      <c r="AJ56" s="54"/>
      <c r="AK56" s="172"/>
      <c r="AL56" s="173"/>
    </row>
    <row r="57" spans="1:40" s="47" customFormat="1" ht="110.25" customHeight="1" x14ac:dyDescent="2.1">
      <c r="A57" s="12"/>
      <c r="B57" s="13" t="s">
        <v>219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3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13" t="s">
        <v>219</v>
      </c>
      <c r="AB57" s="128"/>
      <c r="AC57" s="129"/>
      <c r="AD57" s="16">
        <f>X57</f>
        <v>0</v>
      </c>
      <c r="AE57" s="17"/>
      <c r="AF57" s="54"/>
      <c r="AG57" s="54"/>
      <c r="AH57" s="54"/>
      <c r="AI57" s="54"/>
      <c r="AJ57" s="54"/>
      <c r="AK57" s="172"/>
      <c r="AL57" s="173"/>
    </row>
    <row r="58" spans="1:40" s="12" customFormat="1" ht="110.25" customHeight="1" x14ac:dyDescent="2.1">
      <c r="B58" s="13" t="s">
        <v>72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2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13" t="s">
        <v>72</v>
      </c>
      <c r="AB58" s="178"/>
      <c r="AC58" s="179"/>
      <c r="AD58" s="16">
        <f>X58</f>
        <v>0</v>
      </c>
      <c r="AE58" s="17"/>
      <c r="AF58" s="2"/>
      <c r="AG58" s="2"/>
      <c r="AH58" s="2"/>
      <c r="AI58" s="2"/>
      <c r="AJ58" s="2"/>
      <c r="AK58" s="172"/>
      <c r="AL58" s="173"/>
      <c r="AM58" s="4"/>
      <c r="AN58" s="4"/>
    </row>
    <row r="59" spans="1:40" s="64" customFormat="1" ht="23.25" customHeight="1" x14ac:dyDescent="2.1">
      <c r="B59" s="65"/>
      <c r="C59" s="14">
        <v>0</v>
      </c>
      <c r="D59" s="14"/>
      <c r="E59" s="14">
        <v>0</v>
      </c>
      <c r="F59" s="14"/>
      <c r="G59" s="14">
        <v>0</v>
      </c>
      <c r="H59" s="14"/>
      <c r="I59" s="14">
        <v>0</v>
      </c>
      <c r="J59" s="14"/>
      <c r="K59" s="14">
        <v>0</v>
      </c>
      <c r="L59" s="14"/>
      <c r="M59" s="14">
        <v>0</v>
      </c>
      <c r="N59" s="14"/>
      <c r="O59" s="14">
        <v>0</v>
      </c>
      <c r="P59" s="14"/>
      <c r="Q59" s="14">
        <v>0</v>
      </c>
      <c r="R59" s="14"/>
      <c r="S59" s="14">
        <v>0</v>
      </c>
      <c r="T59" s="14"/>
      <c r="U59" s="14">
        <v>0</v>
      </c>
      <c r="V59" s="14"/>
      <c r="W59" s="14">
        <v>0</v>
      </c>
      <c r="X59" s="112">
        <v>0</v>
      </c>
      <c r="Y59" s="14">
        <f>SUM(D59,F59,H59,J59,L59,,N59,P59,R59,T59,V59,W59)</f>
        <v>0</v>
      </c>
      <c r="Z59" s="14">
        <f>SUM(C59,E59,G59,I59,K59,,M59,O59,Q59,S59,U59)</f>
        <v>0</v>
      </c>
      <c r="AA59" s="65"/>
      <c r="AB59" s="66"/>
      <c r="AC59" s="66"/>
      <c r="AD59" s="16">
        <f t="shared" si="16"/>
        <v>0</v>
      </c>
      <c r="AE59" s="17"/>
      <c r="AF59" s="2"/>
      <c r="AG59" s="2"/>
      <c r="AH59" s="2"/>
      <c r="AI59" s="2"/>
      <c r="AJ59" s="2"/>
      <c r="AK59" s="172"/>
      <c r="AL59" s="173"/>
      <c r="AM59" s="67"/>
      <c r="AN59" s="67"/>
    </row>
    <row r="60" spans="1:40" ht="108.75" customHeight="1" x14ac:dyDescent="2.1">
      <c r="B60" s="15" t="s">
        <v>73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12">
        <v>0</v>
      </c>
      <c r="Y60" s="14">
        <f>SUM(C60,E60,G60,I60,K60,,M60,O60,Q60,S60,U60,W60)</f>
        <v>0</v>
      </c>
      <c r="Z60" s="14">
        <f>SUM(D60,F60,H60,J60,L60,,N60,P60,R60,T60,V60)</f>
        <v>0</v>
      </c>
      <c r="AA60" s="68" t="s">
        <v>74</v>
      </c>
      <c r="AB60" s="21">
        <f>Y60*4</f>
        <v>0</v>
      </c>
      <c r="AC60" s="165">
        <f>SUM(C62:W62)</f>
        <v>0</v>
      </c>
      <c r="AD60" s="16">
        <f t="shared" si="16"/>
        <v>0</v>
      </c>
      <c r="AE60" s="17"/>
      <c r="AF60" s="69"/>
      <c r="AG60" s="69"/>
      <c r="AK60" s="172"/>
      <c r="AL60" s="173"/>
    </row>
    <row r="61" spans="1:40" ht="108.75" customHeight="1" x14ac:dyDescent="2.1">
      <c r="B61" s="15" t="s">
        <v>75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12">
        <v>0</v>
      </c>
      <c r="Y61" s="14">
        <f>SUM(C61,E61,G61,I61,K61,,M61,O61,Q61,S61,U61,W61)</f>
        <v>0</v>
      </c>
      <c r="Z61" s="14">
        <f>SUM(D61,F61,H61,J61,L61,,N61,P61,R61,T61,V61)</f>
        <v>0</v>
      </c>
      <c r="AA61" s="68" t="s">
        <v>75</v>
      </c>
      <c r="AB61" s="21">
        <f>Y61*4</f>
        <v>0</v>
      </c>
      <c r="AC61" s="167"/>
      <c r="AD61" s="16">
        <f t="shared" si="16"/>
        <v>0</v>
      </c>
      <c r="AE61" s="17"/>
      <c r="AK61" s="172"/>
      <c r="AL61" s="173"/>
    </row>
    <row r="62" spans="1:40" ht="110.25" customHeight="1" x14ac:dyDescent="2.1">
      <c r="B62" s="15"/>
      <c r="C62" s="30">
        <f>(C60+C61)*4</f>
        <v>0</v>
      </c>
      <c r="D62" s="30">
        <f t="shared" ref="D62:W62" si="18">(D60+D61)*4</f>
        <v>0</v>
      </c>
      <c r="E62" s="30">
        <f t="shared" si="18"/>
        <v>0</v>
      </c>
      <c r="F62" s="30">
        <f t="shared" si="18"/>
        <v>0</v>
      </c>
      <c r="G62" s="30">
        <f t="shared" si="18"/>
        <v>0</v>
      </c>
      <c r="H62" s="30">
        <f t="shared" si="18"/>
        <v>0</v>
      </c>
      <c r="I62" s="30">
        <f t="shared" si="18"/>
        <v>0</v>
      </c>
      <c r="J62" s="30">
        <f t="shared" si="18"/>
        <v>0</v>
      </c>
      <c r="K62" s="30">
        <f t="shared" si="18"/>
        <v>0</v>
      </c>
      <c r="L62" s="30">
        <f t="shared" si="18"/>
        <v>0</v>
      </c>
      <c r="M62" s="30">
        <f t="shared" si="18"/>
        <v>0</v>
      </c>
      <c r="N62" s="30">
        <f t="shared" si="18"/>
        <v>0</v>
      </c>
      <c r="O62" s="30">
        <f t="shared" si="18"/>
        <v>0</v>
      </c>
      <c r="P62" s="30">
        <f t="shared" si="18"/>
        <v>0</v>
      </c>
      <c r="Q62" s="30">
        <f t="shared" si="18"/>
        <v>0</v>
      </c>
      <c r="R62" s="30">
        <f t="shared" si="18"/>
        <v>0</v>
      </c>
      <c r="S62" s="30">
        <f t="shared" si="18"/>
        <v>0</v>
      </c>
      <c r="T62" s="30">
        <f t="shared" si="18"/>
        <v>0</v>
      </c>
      <c r="U62" s="30">
        <f t="shared" si="18"/>
        <v>0</v>
      </c>
      <c r="V62" s="30">
        <f t="shared" si="18"/>
        <v>0</v>
      </c>
      <c r="W62" s="30">
        <f t="shared" si="18"/>
        <v>0</v>
      </c>
      <c r="X62" s="113"/>
      <c r="Y62" s="14"/>
      <c r="Z62" s="14"/>
      <c r="AA62" s="68"/>
      <c r="AB62" s="199"/>
      <c r="AC62" s="200"/>
      <c r="AD62" s="33">
        <f t="shared" si="16"/>
        <v>0</v>
      </c>
      <c r="AE62" s="17"/>
      <c r="AK62" s="172"/>
      <c r="AL62" s="173"/>
    </row>
    <row r="63" spans="1:40" ht="123.75" customHeight="1" x14ac:dyDescent="2.1">
      <c r="B63" s="136" t="s">
        <v>76</v>
      </c>
      <c r="C63" s="134" t="s">
        <v>1</v>
      </c>
      <c r="D63" s="135"/>
      <c r="E63" s="134" t="s">
        <v>2</v>
      </c>
      <c r="F63" s="135"/>
      <c r="G63" s="134" t="s">
        <v>3</v>
      </c>
      <c r="H63" s="135"/>
      <c r="I63" s="134" t="s">
        <v>4</v>
      </c>
      <c r="J63" s="135"/>
      <c r="K63" s="134" t="s">
        <v>5</v>
      </c>
      <c r="L63" s="135"/>
      <c r="M63" s="134" t="s">
        <v>6</v>
      </c>
      <c r="N63" s="135"/>
      <c r="O63" s="134" t="s">
        <v>7</v>
      </c>
      <c r="P63" s="135"/>
      <c r="Q63" s="134" t="s">
        <v>8</v>
      </c>
      <c r="R63" s="135"/>
      <c r="S63" s="134" t="s">
        <v>9</v>
      </c>
      <c r="T63" s="135"/>
      <c r="U63" s="134" t="s">
        <v>10</v>
      </c>
      <c r="V63" s="135"/>
      <c r="W63" s="136" t="s">
        <v>11</v>
      </c>
      <c r="X63" s="110"/>
      <c r="Y63" s="136" t="s">
        <v>12</v>
      </c>
      <c r="Z63" s="136" t="s">
        <v>13</v>
      </c>
      <c r="AA63" s="136" t="s">
        <v>76</v>
      </c>
      <c r="AB63" s="140"/>
      <c r="AC63" s="141"/>
      <c r="AD63" s="6" t="s">
        <v>15</v>
      </c>
      <c r="AE63" s="7"/>
      <c r="AK63" s="70"/>
      <c r="AL63" s="71"/>
    </row>
    <row r="64" spans="1:40" s="4" customFormat="1" ht="138" customHeight="1" thickBot="1" x14ac:dyDescent="2.4">
      <c r="B64" s="137"/>
      <c r="C64" s="9" t="s">
        <v>16</v>
      </c>
      <c r="D64" s="9" t="s">
        <v>17</v>
      </c>
      <c r="E64" s="9" t="s">
        <v>16</v>
      </c>
      <c r="F64" s="9" t="s">
        <v>17</v>
      </c>
      <c r="G64" s="9" t="s">
        <v>16</v>
      </c>
      <c r="H64" s="9" t="s">
        <v>17</v>
      </c>
      <c r="I64" s="9" t="s">
        <v>16</v>
      </c>
      <c r="J64" s="9" t="s">
        <v>17</v>
      </c>
      <c r="K64" s="9" t="s">
        <v>16</v>
      </c>
      <c r="L64" s="9" t="s">
        <v>17</v>
      </c>
      <c r="M64" s="9" t="s">
        <v>16</v>
      </c>
      <c r="N64" s="9" t="s">
        <v>17</v>
      </c>
      <c r="O64" s="9" t="s">
        <v>16</v>
      </c>
      <c r="P64" s="9" t="s">
        <v>17</v>
      </c>
      <c r="Q64" s="9" t="s">
        <v>16</v>
      </c>
      <c r="R64" s="9" t="s">
        <v>17</v>
      </c>
      <c r="S64" s="9" t="s">
        <v>16</v>
      </c>
      <c r="T64" s="9" t="s">
        <v>17</v>
      </c>
      <c r="U64" s="9" t="s">
        <v>16</v>
      </c>
      <c r="V64" s="9" t="s">
        <v>17</v>
      </c>
      <c r="W64" s="137"/>
      <c r="X64" s="111"/>
      <c r="Y64" s="137"/>
      <c r="Z64" s="137"/>
      <c r="AA64" s="137"/>
      <c r="AB64" s="10"/>
      <c r="AC64" s="11"/>
      <c r="AD64" s="6"/>
      <c r="AE64" s="7"/>
      <c r="AF64" s="2"/>
      <c r="AG64" s="2"/>
      <c r="AH64" s="2"/>
      <c r="AI64" s="2"/>
      <c r="AJ64" s="2"/>
      <c r="AK64" s="8"/>
      <c r="AL64" s="8"/>
    </row>
    <row r="65" spans="2:40" s="12" customFormat="1" ht="113.25" customHeight="1" x14ac:dyDescent="2.1">
      <c r="B65" s="13" t="s">
        <v>77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ref="Y65:Y71" si="19">SUM(C65,E65,G65,I65,K65,,M65,O65,Q65,S65,U65,W65)</f>
        <v>0</v>
      </c>
      <c r="Z65" s="14">
        <f t="shared" ref="Z65:Z71" si="20">SUM(D65,F65,H65,J65,L65,,N65,P65,R65,T65,V65)</f>
        <v>0</v>
      </c>
      <c r="AA65" s="13" t="s">
        <v>77</v>
      </c>
      <c r="AB65" s="180">
        <f>SUM(Y65:Y71)</f>
        <v>0</v>
      </c>
      <c r="AC65" s="181"/>
      <c r="AD65" s="16">
        <f>X65</f>
        <v>0</v>
      </c>
      <c r="AE65" s="17"/>
      <c r="AF65" s="72"/>
      <c r="AG65" s="73"/>
      <c r="AH65" s="73"/>
      <c r="AI65" s="73"/>
      <c r="AJ65" s="74"/>
      <c r="AK65" s="70"/>
      <c r="AL65" s="71"/>
    </row>
    <row r="66" spans="2:40" s="12" customFormat="1" ht="113.25" customHeight="1" x14ac:dyDescent="2.1">
      <c r="B66" s="13" t="s">
        <v>78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78</v>
      </c>
      <c r="AB66" s="194"/>
      <c r="AC66" s="195"/>
      <c r="AD66" s="16">
        <f t="shared" ref="AD66:AD71" si="21">X66</f>
        <v>0</v>
      </c>
      <c r="AE66" s="17"/>
      <c r="AF66" s="201" t="s">
        <v>76</v>
      </c>
      <c r="AG66" s="197"/>
      <c r="AH66" s="197"/>
      <c r="AI66" s="197"/>
      <c r="AJ66" s="198"/>
      <c r="AK66" s="70"/>
      <c r="AL66" s="71"/>
    </row>
    <row r="67" spans="2:40" s="12" customFormat="1" ht="113.25" customHeight="1" x14ac:dyDescent="2.1">
      <c r="B67" s="13" t="s">
        <v>79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79</v>
      </c>
      <c r="AB67" s="194"/>
      <c r="AC67" s="195"/>
      <c r="AD67" s="16">
        <f t="shared" si="21"/>
        <v>0</v>
      </c>
      <c r="AE67" s="17"/>
      <c r="AF67" s="196">
        <f>SUM(AD65:AD71)</f>
        <v>0</v>
      </c>
      <c r="AG67" s="202"/>
      <c r="AH67" s="202"/>
      <c r="AI67" s="202"/>
      <c r="AJ67" s="203"/>
      <c r="AK67" s="70"/>
      <c r="AL67" s="71"/>
    </row>
    <row r="68" spans="2:40" s="12" customFormat="1" ht="113.25" customHeight="1" x14ac:dyDescent="2.1">
      <c r="B68" s="13" t="s">
        <v>80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80</v>
      </c>
      <c r="AB68" s="194"/>
      <c r="AC68" s="195"/>
      <c r="AD68" s="16">
        <f t="shared" si="21"/>
        <v>0</v>
      </c>
      <c r="AE68" s="17"/>
      <c r="AF68" s="56"/>
      <c r="AG68" s="54"/>
      <c r="AH68" s="54"/>
      <c r="AI68" s="54"/>
      <c r="AJ68" s="55"/>
      <c r="AK68" s="70"/>
      <c r="AL68" s="71"/>
    </row>
    <row r="69" spans="2:40" s="12" customFormat="1" ht="113.25" customHeight="1" x14ac:dyDescent="2.1">
      <c r="B69" s="13" t="s">
        <v>81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12">
        <v>0</v>
      </c>
      <c r="Y69" s="14">
        <f t="shared" si="19"/>
        <v>0</v>
      </c>
      <c r="Z69" s="14">
        <f t="shared" si="20"/>
        <v>0</v>
      </c>
      <c r="AA69" s="13" t="s">
        <v>81</v>
      </c>
      <c r="AB69" s="194"/>
      <c r="AC69" s="195"/>
      <c r="AD69" s="16">
        <f t="shared" si="21"/>
        <v>0</v>
      </c>
      <c r="AE69" s="17"/>
      <c r="AF69" s="56"/>
      <c r="AG69" s="54"/>
      <c r="AH69" s="54"/>
      <c r="AI69" s="54"/>
      <c r="AJ69" s="55"/>
      <c r="AK69" s="70"/>
      <c r="AL69" s="71"/>
    </row>
    <row r="70" spans="2:40" s="12" customFormat="1" ht="113.25" customHeight="1" x14ac:dyDescent="2.1">
      <c r="B70" s="13" t="s">
        <v>82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12">
        <v>0</v>
      </c>
      <c r="Y70" s="14">
        <f t="shared" si="19"/>
        <v>0</v>
      </c>
      <c r="Z70" s="14">
        <f t="shared" si="20"/>
        <v>0</v>
      </c>
      <c r="AA70" s="13" t="s">
        <v>82</v>
      </c>
      <c r="AB70" s="182"/>
      <c r="AC70" s="183"/>
      <c r="AD70" s="16">
        <f t="shared" si="21"/>
        <v>0</v>
      </c>
      <c r="AE70" s="17"/>
      <c r="AF70" s="58"/>
      <c r="AG70" s="2"/>
      <c r="AH70" s="2"/>
      <c r="AI70" s="2"/>
      <c r="AJ70" s="57"/>
      <c r="AK70" s="70"/>
      <c r="AL70" s="71"/>
    </row>
    <row r="71" spans="2:40" s="12" customFormat="1" ht="113.25" customHeight="1" x14ac:dyDescent="2.1">
      <c r="B71" s="13" t="s">
        <v>83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12">
        <v>0</v>
      </c>
      <c r="Y71" s="14">
        <f t="shared" si="19"/>
        <v>0</v>
      </c>
      <c r="Z71" s="14">
        <f t="shared" si="20"/>
        <v>0</v>
      </c>
      <c r="AA71" s="13" t="s">
        <v>83</v>
      </c>
      <c r="AB71" s="178"/>
      <c r="AC71" s="179"/>
      <c r="AD71" s="16">
        <f t="shared" si="21"/>
        <v>0</v>
      </c>
      <c r="AE71" s="17"/>
      <c r="AF71" s="2"/>
      <c r="AG71" s="2"/>
      <c r="AH71" s="2"/>
      <c r="AI71" s="2"/>
      <c r="AJ71" s="2"/>
      <c r="AK71" s="70"/>
      <c r="AL71" s="71"/>
    </row>
    <row r="72" spans="2:40" s="12" customFormat="1" ht="113.25" customHeight="1" x14ac:dyDescent="2.1">
      <c r="B72" s="13"/>
      <c r="C72" s="30">
        <f t="shared" ref="C72:W72" si="22">SUM(C65:C71)</f>
        <v>0</v>
      </c>
      <c r="D72" s="30">
        <f t="shared" si="22"/>
        <v>0</v>
      </c>
      <c r="E72" s="30">
        <f t="shared" si="22"/>
        <v>0</v>
      </c>
      <c r="F72" s="30">
        <f t="shared" si="22"/>
        <v>0</v>
      </c>
      <c r="G72" s="30">
        <f t="shared" si="22"/>
        <v>0</v>
      </c>
      <c r="H72" s="30">
        <f t="shared" si="22"/>
        <v>0</v>
      </c>
      <c r="I72" s="30">
        <f t="shared" si="22"/>
        <v>0</v>
      </c>
      <c r="J72" s="30">
        <f t="shared" si="22"/>
        <v>0</v>
      </c>
      <c r="K72" s="30">
        <f t="shared" si="22"/>
        <v>0</v>
      </c>
      <c r="L72" s="30">
        <f t="shared" si="22"/>
        <v>0</v>
      </c>
      <c r="M72" s="30">
        <f t="shared" si="22"/>
        <v>0</v>
      </c>
      <c r="N72" s="30">
        <f t="shared" si="22"/>
        <v>0</v>
      </c>
      <c r="O72" s="30">
        <f t="shared" si="22"/>
        <v>0</v>
      </c>
      <c r="P72" s="30">
        <f t="shared" si="22"/>
        <v>0</v>
      </c>
      <c r="Q72" s="30">
        <f t="shared" si="22"/>
        <v>0</v>
      </c>
      <c r="R72" s="30">
        <f t="shared" si="22"/>
        <v>0</v>
      </c>
      <c r="S72" s="30">
        <f t="shared" si="22"/>
        <v>0</v>
      </c>
      <c r="T72" s="30">
        <f t="shared" si="22"/>
        <v>0</v>
      </c>
      <c r="U72" s="30">
        <f t="shared" si="22"/>
        <v>0</v>
      </c>
      <c r="V72" s="30">
        <f t="shared" si="22"/>
        <v>0</v>
      </c>
      <c r="W72" s="30">
        <f t="shared" si="22"/>
        <v>0</v>
      </c>
      <c r="X72" s="113"/>
      <c r="Y72" s="14"/>
      <c r="Z72" s="14"/>
      <c r="AA72" s="13"/>
      <c r="AB72" s="178"/>
      <c r="AC72" s="179"/>
      <c r="AD72" s="16">
        <v>0</v>
      </c>
      <c r="AE72" s="17"/>
      <c r="AF72" s="2"/>
      <c r="AG72" s="2"/>
      <c r="AH72" s="2"/>
      <c r="AI72" s="2"/>
      <c r="AJ72" s="2"/>
      <c r="AK72" s="70"/>
      <c r="AL72" s="71"/>
    </row>
    <row r="73" spans="2:40" s="4" customFormat="1" ht="132" customHeight="1" thickBot="1" x14ac:dyDescent="2.4">
      <c r="B73" s="48" t="s">
        <v>0</v>
      </c>
      <c r="C73" s="134" t="s">
        <v>1</v>
      </c>
      <c r="D73" s="135"/>
      <c r="E73" s="134" t="s">
        <v>2</v>
      </c>
      <c r="F73" s="135"/>
      <c r="G73" s="134" t="s">
        <v>3</v>
      </c>
      <c r="H73" s="135"/>
      <c r="I73" s="134" t="s">
        <v>4</v>
      </c>
      <c r="J73" s="135"/>
      <c r="K73" s="134" t="s">
        <v>5</v>
      </c>
      <c r="L73" s="135"/>
      <c r="M73" s="134" t="s">
        <v>6</v>
      </c>
      <c r="N73" s="135"/>
      <c r="O73" s="134" t="s">
        <v>7</v>
      </c>
      <c r="P73" s="135"/>
      <c r="Q73" s="134" t="s">
        <v>8</v>
      </c>
      <c r="R73" s="135"/>
      <c r="S73" s="134" t="s">
        <v>9</v>
      </c>
      <c r="T73" s="135"/>
      <c r="U73" s="134" t="s">
        <v>10</v>
      </c>
      <c r="V73" s="135"/>
      <c r="W73" s="9" t="s">
        <v>11</v>
      </c>
      <c r="X73" s="118"/>
      <c r="Y73" s="49" t="s">
        <v>12</v>
      </c>
      <c r="Z73" s="49" t="s">
        <v>13</v>
      </c>
      <c r="AA73" s="48" t="s">
        <v>0</v>
      </c>
      <c r="AB73" s="140"/>
      <c r="AC73" s="141"/>
      <c r="AD73" s="6" t="s">
        <v>15</v>
      </c>
      <c r="AE73" s="7"/>
      <c r="AF73" s="2"/>
      <c r="AG73" s="2"/>
      <c r="AH73" s="2"/>
      <c r="AI73" s="2"/>
      <c r="AJ73" s="2"/>
      <c r="AK73" s="8"/>
      <c r="AL73" s="8"/>
      <c r="AM73" s="12"/>
      <c r="AN73" s="12"/>
    </row>
    <row r="74" spans="2:40" s="12" customFormat="1" ht="113.25" customHeight="1" x14ac:dyDescent="2.1">
      <c r="B74" s="13" t="s">
        <v>84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2">
        <v>0</v>
      </c>
      <c r="Y74" s="14">
        <f>SUM(C74,E74,G74,I74,K74,,M74,O74,Q74,S74,U74,W74)</f>
        <v>0</v>
      </c>
      <c r="Z74" s="14">
        <f>SUM(D74,F74,H74,J74,L74,,N74,P74,R74,T74,V74)</f>
        <v>0</v>
      </c>
      <c r="AA74" s="13" t="s">
        <v>84</v>
      </c>
      <c r="AB74" s="180">
        <f>SUM(Y74:Y75)</f>
        <v>0</v>
      </c>
      <c r="AC74" s="181"/>
      <c r="AD74" s="16">
        <f>X74</f>
        <v>0</v>
      </c>
      <c r="AE74" s="17"/>
      <c r="AF74" s="204" t="s">
        <v>85</v>
      </c>
      <c r="AG74" s="205"/>
      <c r="AH74" s="205"/>
      <c r="AI74" s="205"/>
      <c r="AJ74" s="205"/>
      <c r="AK74" s="209">
        <f>SUM(AD74:AD84)</f>
        <v>0</v>
      </c>
      <c r="AL74" s="210"/>
      <c r="AM74" s="29"/>
      <c r="AN74" s="29"/>
    </row>
    <row r="75" spans="2:40" s="29" customFormat="1" ht="113.25" customHeight="1" thickBot="1" x14ac:dyDescent="2.15">
      <c r="B75" s="38" t="s">
        <v>86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2">
        <v>0</v>
      </c>
      <c r="Y75" s="14">
        <f>SUM(C75,E75,G75,I75,K75,,M75,O75,Q75,S75,U75,W75)</f>
        <v>0</v>
      </c>
      <c r="Z75" s="14">
        <f>SUM(D75,F75,H75,J75,L75,,N75,P75,R75,T75,V75)</f>
        <v>0</v>
      </c>
      <c r="AA75" s="38" t="s">
        <v>86</v>
      </c>
      <c r="AB75" s="182"/>
      <c r="AC75" s="183"/>
      <c r="AD75" s="16">
        <f t="shared" ref="AD75:AD89" si="23">X75</f>
        <v>0</v>
      </c>
      <c r="AE75" s="75"/>
      <c r="AF75" s="175">
        <f>+AD74+AD75</f>
        <v>0</v>
      </c>
      <c r="AG75" s="206"/>
      <c r="AH75" s="206"/>
      <c r="AI75" s="206"/>
      <c r="AJ75" s="206"/>
      <c r="AK75" s="211"/>
      <c r="AL75" s="212"/>
      <c r="AM75" s="12"/>
      <c r="AN75" s="12"/>
    </row>
    <row r="76" spans="2:40" s="29" customFormat="1" ht="113.25" customHeight="1" thickBot="1" x14ac:dyDescent="2.15">
      <c r="B76" s="38"/>
      <c r="C76" s="30">
        <f>SUM(C74:C75)</f>
        <v>0</v>
      </c>
      <c r="D76" s="30">
        <f t="shared" ref="D76:W76" si="24">SUM(D74:D75)</f>
        <v>0</v>
      </c>
      <c r="E76" s="30">
        <f t="shared" si="24"/>
        <v>0</v>
      </c>
      <c r="F76" s="30">
        <f t="shared" si="24"/>
        <v>0</v>
      </c>
      <c r="G76" s="30">
        <f t="shared" si="24"/>
        <v>0</v>
      </c>
      <c r="H76" s="30">
        <f t="shared" si="24"/>
        <v>0</v>
      </c>
      <c r="I76" s="30">
        <f t="shared" si="24"/>
        <v>0</v>
      </c>
      <c r="J76" s="30">
        <f t="shared" si="24"/>
        <v>0</v>
      </c>
      <c r="K76" s="30">
        <f t="shared" si="24"/>
        <v>0</v>
      </c>
      <c r="L76" s="30">
        <f t="shared" si="24"/>
        <v>0</v>
      </c>
      <c r="M76" s="30">
        <f t="shared" si="24"/>
        <v>0</v>
      </c>
      <c r="N76" s="30">
        <f t="shared" si="24"/>
        <v>0</v>
      </c>
      <c r="O76" s="30">
        <f t="shared" si="24"/>
        <v>0</v>
      </c>
      <c r="P76" s="30">
        <f t="shared" si="24"/>
        <v>0</v>
      </c>
      <c r="Q76" s="30">
        <f t="shared" si="24"/>
        <v>0</v>
      </c>
      <c r="R76" s="30">
        <f t="shared" si="24"/>
        <v>0</v>
      </c>
      <c r="S76" s="30">
        <f t="shared" si="24"/>
        <v>0</v>
      </c>
      <c r="T76" s="30">
        <f t="shared" si="24"/>
        <v>0</v>
      </c>
      <c r="U76" s="30">
        <f t="shared" si="24"/>
        <v>0</v>
      </c>
      <c r="V76" s="30">
        <f t="shared" si="24"/>
        <v>0</v>
      </c>
      <c r="W76" s="30">
        <f t="shared" si="24"/>
        <v>0</v>
      </c>
      <c r="X76" s="113">
        <v>0</v>
      </c>
      <c r="Y76" s="14"/>
      <c r="Z76" s="14"/>
      <c r="AA76" s="38"/>
      <c r="AB76" s="213"/>
      <c r="AC76" s="214"/>
      <c r="AD76" s="16">
        <f t="shared" si="23"/>
        <v>0</v>
      </c>
      <c r="AE76" s="75"/>
      <c r="AF76" s="44"/>
      <c r="AG76" s="76"/>
      <c r="AH76" s="76"/>
      <c r="AI76" s="76"/>
      <c r="AJ76" s="76"/>
      <c r="AK76" s="211"/>
      <c r="AL76" s="212"/>
      <c r="AM76" s="12"/>
      <c r="AN76" s="12"/>
    </row>
    <row r="77" spans="2:40" s="12" customFormat="1" ht="113.25" customHeight="1" x14ac:dyDescent="2.1">
      <c r="B77" s="13" t="s">
        <v>87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6">
        <v>0</v>
      </c>
      <c r="Y77" s="14">
        <f t="shared" ref="Y77:Y89" si="25">SUM(C77,E77,G77,I77,K77,,M77,O77,Q77,S77,U77,W77)</f>
        <v>0</v>
      </c>
      <c r="Z77" s="14">
        <f t="shared" ref="Z77:Z89" si="26">SUM(D77,F77,H77,J77,L77,,N77,P77,R77,T77,V77)</f>
        <v>0</v>
      </c>
      <c r="AA77" s="13" t="s">
        <v>87</v>
      </c>
      <c r="AB77" s="180">
        <f>SUM(Y77:Y78)</f>
        <v>0</v>
      </c>
      <c r="AC77" s="181"/>
      <c r="AD77" s="16">
        <f t="shared" si="23"/>
        <v>0</v>
      </c>
      <c r="AE77" s="17"/>
      <c r="AF77" s="184" t="s">
        <v>88</v>
      </c>
      <c r="AG77" s="185"/>
      <c r="AH77" s="185"/>
      <c r="AI77" s="185"/>
      <c r="AJ77" s="185"/>
      <c r="AK77" s="211"/>
      <c r="AL77" s="212"/>
    </row>
    <row r="78" spans="2:40" s="12" customFormat="1" ht="113.25" customHeight="1" thickBot="1" x14ac:dyDescent="2.15">
      <c r="B78" s="13" t="s">
        <v>89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6">
        <v>0</v>
      </c>
      <c r="Y78" s="14">
        <f t="shared" si="25"/>
        <v>0</v>
      </c>
      <c r="Z78" s="14">
        <f t="shared" si="26"/>
        <v>0</v>
      </c>
      <c r="AA78" s="13" t="s">
        <v>89</v>
      </c>
      <c r="AB78" s="182"/>
      <c r="AC78" s="183"/>
      <c r="AD78" s="16">
        <f t="shared" si="23"/>
        <v>0</v>
      </c>
      <c r="AE78" s="17"/>
      <c r="AF78" s="175">
        <f>+AD77+AD78</f>
        <v>0</v>
      </c>
      <c r="AG78" s="206"/>
      <c r="AH78" s="206"/>
      <c r="AI78" s="206"/>
      <c r="AJ78" s="206"/>
      <c r="AK78" s="211"/>
      <c r="AL78" s="212"/>
    </row>
    <row r="79" spans="2:40" s="12" customFormat="1" ht="113.25" customHeight="1" x14ac:dyDescent="2.1">
      <c r="B79" s="13" t="s">
        <v>90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2">
        <v>0</v>
      </c>
      <c r="Y79" s="14">
        <f t="shared" si="25"/>
        <v>0</v>
      </c>
      <c r="Z79" s="14">
        <f t="shared" si="26"/>
        <v>0</v>
      </c>
      <c r="AA79" s="13" t="s">
        <v>90</v>
      </c>
      <c r="AB79" s="180">
        <f>SUM(Y79:Y80)</f>
        <v>0</v>
      </c>
      <c r="AC79" s="181"/>
      <c r="AD79" s="16">
        <f t="shared" si="23"/>
        <v>0</v>
      </c>
      <c r="AE79" s="17"/>
      <c r="AF79" s="184" t="s">
        <v>91</v>
      </c>
      <c r="AG79" s="185"/>
      <c r="AH79" s="185"/>
      <c r="AI79" s="185"/>
      <c r="AJ79" s="185"/>
      <c r="AK79" s="211"/>
      <c r="AL79" s="212"/>
    </row>
    <row r="80" spans="2:40" s="12" customFormat="1" ht="113.25" customHeight="1" thickBot="1" x14ac:dyDescent="2.15">
      <c r="B80" s="13" t="s">
        <v>92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2">
        <v>0</v>
      </c>
      <c r="Y80" s="14">
        <f t="shared" si="25"/>
        <v>0</v>
      </c>
      <c r="Z80" s="14">
        <f t="shared" si="26"/>
        <v>0</v>
      </c>
      <c r="AA80" s="13" t="s">
        <v>92</v>
      </c>
      <c r="AB80" s="182"/>
      <c r="AC80" s="183"/>
      <c r="AD80" s="16">
        <f t="shared" si="23"/>
        <v>0</v>
      </c>
      <c r="AE80" s="17"/>
      <c r="AF80" s="175">
        <f>+AD79+AD80</f>
        <v>0</v>
      </c>
      <c r="AG80" s="206"/>
      <c r="AH80" s="206"/>
      <c r="AI80" s="206"/>
      <c r="AJ80" s="206"/>
      <c r="AK80" s="211"/>
      <c r="AL80" s="212"/>
    </row>
    <row r="81" spans="2:38" s="12" customFormat="1" ht="113.25" customHeight="1" x14ac:dyDescent="2.1">
      <c r="B81" s="13" t="s">
        <v>214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6">
        <v>0</v>
      </c>
      <c r="Y81" s="14">
        <f t="shared" si="25"/>
        <v>0</v>
      </c>
      <c r="Z81" s="14">
        <f t="shared" si="26"/>
        <v>0</v>
      </c>
      <c r="AA81" s="13" t="s">
        <v>93</v>
      </c>
      <c r="AB81" s="180">
        <f>SUM(Y81:Y82)</f>
        <v>0</v>
      </c>
      <c r="AC81" s="181"/>
      <c r="AD81" s="16">
        <f t="shared" si="23"/>
        <v>0</v>
      </c>
      <c r="AE81" s="17"/>
      <c r="AF81" s="184" t="s">
        <v>94</v>
      </c>
      <c r="AG81" s="185"/>
      <c r="AH81" s="185"/>
      <c r="AI81" s="185"/>
      <c r="AJ81" s="185"/>
      <c r="AK81" s="211"/>
      <c r="AL81" s="212"/>
    </row>
    <row r="82" spans="2:38" s="12" customFormat="1" ht="113.25" customHeight="1" thickBot="1" x14ac:dyDescent="2.15">
      <c r="B82" s="13" t="s">
        <v>215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95</v>
      </c>
      <c r="AB82" s="182"/>
      <c r="AC82" s="183"/>
      <c r="AD82" s="16">
        <f t="shared" si="23"/>
        <v>0</v>
      </c>
      <c r="AE82" s="17"/>
      <c r="AF82" s="175">
        <f>+AD81+AD82</f>
        <v>0</v>
      </c>
      <c r="AG82" s="206"/>
      <c r="AH82" s="206"/>
      <c r="AI82" s="206"/>
      <c r="AJ82" s="206"/>
      <c r="AK82" s="77"/>
      <c r="AL82" s="78"/>
    </row>
    <row r="83" spans="2:38" s="12" customFormat="1" ht="113.25" customHeight="1" x14ac:dyDescent="2.1">
      <c r="B83" s="13" t="s">
        <v>216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96</v>
      </c>
      <c r="AB83" s="180">
        <f>SUM(Y83:Y84)</f>
        <v>0</v>
      </c>
      <c r="AC83" s="181"/>
      <c r="AD83" s="16">
        <f t="shared" si="23"/>
        <v>0</v>
      </c>
      <c r="AE83" s="17"/>
      <c r="AF83" s="184" t="s">
        <v>97</v>
      </c>
      <c r="AG83" s="185"/>
      <c r="AH83" s="185"/>
      <c r="AI83" s="185"/>
      <c r="AJ83" s="185"/>
      <c r="AK83" s="207" t="s">
        <v>98</v>
      </c>
      <c r="AL83" s="208"/>
    </row>
    <row r="84" spans="2:38" s="12" customFormat="1" ht="113.25" customHeight="1" thickBot="1" x14ac:dyDescent="2.15">
      <c r="B84" s="13" t="s">
        <v>217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99</v>
      </c>
      <c r="AB84" s="182"/>
      <c r="AC84" s="183"/>
      <c r="AD84" s="16">
        <f t="shared" si="23"/>
        <v>0</v>
      </c>
      <c r="AE84" s="17"/>
      <c r="AF84" s="175">
        <f>+AD83+AD84</f>
        <v>0</v>
      </c>
      <c r="AG84" s="206"/>
      <c r="AH84" s="206"/>
      <c r="AI84" s="206"/>
      <c r="AJ84" s="206"/>
      <c r="AK84" s="207"/>
      <c r="AL84" s="208"/>
    </row>
    <row r="85" spans="2:38" s="12" customFormat="1" ht="105.75" customHeight="1" x14ac:dyDescent="2.1">
      <c r="B85" s="13" t="s">
        <v>100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100</v>
      </c>
      <c r="AB85" s="178"/>
      <c r="AC85" s="179"/>
      <c r="AD85" s="16">
        <f t="shared" si="23"/>
        <v>0</v>
      </c>
      <c r="AE85" s="17"/>
      <c r="AF85" s="45"/>
      <c r="AG85" s="76"/>
      <c r="AH85" s="76"/>
      <c r="AI85" s="76"/>
      <c r="AJ85" s="76"/>
      <c r="AK85" s="207"/>
      <c r="AL85" s="208"/>
    </row>
    <row r="86" spans="2:38" s="12" customFormat="1" ht="105.75" customHeight="1" x14ac:dyDescent="2.1">
      <c r="B86" s="13" t="s">
        <v>101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101</v>
      </c>
      <c r="AB86" s="178"/>
      <c r="AC86" s="179"/>
      <c r="AD86" s="16">
        <f t="shared" si="23"/>
        <v>0</v>
      </c>
      <c r="AE86" s="17"/>
      <c r="AF86" s="45"/>
      <c r="AG86" s="76"/>
      <c r="AH86" s="76"/>
      <c r="AI86" s="76"/>
      <c r="AJ86" s="76"/>
      <c r="AK86" s="207"/>
      <c r="AL86" s="208"/>
    </row>
    <row r="87" spans="2:38" s="12" customFormat="1" ht="105.75" customHeight="1" x14ac:dyDescent="2.1">
      <c r="B87" s="13" t="s">
        <v>102</v>
      </c>
      <c r="C87" s="14">
        <v>0</v>
      </c>
      <c r="D87" s="14">
        <v>0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  <c r="W87" s="14">
        <v>0</v>
      </c>
      <c r="X87" s="112">
        <v>0</v>
      </c>
      <c r="Y87" s="14">
        <f t="shared" si="25"/>
        <v>0</v>
      </c>
      <c r="Z87" s="14">
        <f t="shared" si="26"/>
        <v>0</v>
      </c>
      <c r="AA87" s="13" t="s">
        <v>102</v>
      </c>
      <c r="AB87" s="178"/>
      <c r="AC87" s="179"/>
      <c r="AD87" s="16">
        <f t="shared" si="23"/>
        <v>0</v>
      </c>
      <c r="AE87" s="17"/>
      <c r="AF87" s="45"/>
      <c r="AG87" s="76"/>
      <c r="AH87" s="76"/>
      <c r="AI87" s="76"/>
      <c r="AJ87" s="76"/>
      <c r="AK87" s="207"/>
      <c r="AL87" s="208"/>
    </row>
    <row r="88" spans="2:38" s="12" customFormat="1" ht="105.75" customHeight="1" x14ac:dyDescent="2.1">
      <c r="B88" s="13" t="s">
        <v>103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2">
        <v>0</v>
      </c>
      <c r="Y88" s="14">
        <f t="shared" si="25"/>
        <v>0</v>
      </c>
      <c r="Z88" s="14">
        <f t="shared" si="26"/>
        <v>0</v>
      </c>
      <c r="AA88" s="13" t="s">
        <v>103</v>
      </c>
      <c r="AB88" s="178"/>
      <c r="AC88" s="179"/>
      <c r="AD88" s="16">
        <f t="shared" si="23"/>
        <v>0</v>
      </c>
      <c r="AE88" s="17"/>
      <c r="AF88" s="45"/>
      <c r="AG88" s="76"/>
      <c r="AH88" s="76"/>
      <c r="AI88" s="76"/>
      <c r="AJ88" s="76"/>
      <c r="AK88" s="207"/>
      <c r="AL88" s="208"/>
    </row>
    <row r="89" spans="2:38" s="12" customFormat="1" ht="105.75" customHeight="1" x14ac:dyDescent="2.1">
      <c r="B89" s="13" t="s">
        <v>104</v>
      </c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2">
        <v>0</v>
      </c>
      <c r="Y89" s="14">
        <f t="shared" si="25"/>
        <v>0</v>
      </c>
      <c r="Z89" s="14">
        <f t="shared" si="26"/>
        <v>0</v>
      </c>
      <c r="AA89" s="13" t="s">
        <v>104</v>
      </c>
      <c r="AB89" s="215">
        <f>SUM(Y89:Y89)</f>
        <v>0</v>
      </c>
      <c r="AC89" s="216"/>
      <c r="AD89" s="16">
        <f t="shared" si="23"/>
        <v>0</v>
      </c>
      <c r="AE89" s="17"/>
      <c r="AF89" s="2"/>
      <c r="AG89" s="2"/>
      <c r="AH89" s="2"/>
      <c r="AI89" s="2"/>
      <c r="AJ89" s="2"/>
      <c r="AK89" s="207"/>
      <c r="AL89" s="208"/>
    </row>
    <row r="90" spans="2:38" ht="123.75" customHeight="1" x14ac:dyDescent="2.1">
      <c r="B90" s="79" t="s">
        <v>105</v>
      </c>
      <c r="C90" s="134" t="s">
        <v>1</v>
      </c>
      <c r="D90" s="135"/>
      <c r="E90" s="134" t="s">
        <v>2</v>
      </c>
      <c r="F90" s="135"/>
      <c r="G90" s="134" t="s">
        <v>3</v>
      </c>
      <c r="H90" s="135"/>
      <c r="I90" s="134" t="s">
        <v>4</v>
      </c>
      <c r="J90" s="135"/>
      <c r="K90" s="134" t="s">
        <v>5</v>
      </c>
      <c r="L90" s="135"/>
      <c r="M90" s="134" t="s">
        <v>6</v>
      </c>
      <c r="N90" s="135"/>
      <c r="O90" s="134" t="s">
        <v>7</v>
      </c>
      <c r="P90" s="135"/>
      <c r="Q90" s="134" t="s">
        <v>8</v>
      </c>
      <c r="R90" s="135"/>
      <c r="S90" s="134" t="s">
        <v>9</v>
      </c>
      <c r="T90" s="135"/>
      <c r="U90" s="134" t="s">
        <v>10</v>
      </c>
      <c r="V90" s="135"/>
      <c r="W90" s="9" t="s">
        <v>11</v>
      </c>
      <c r="X90" s="118"/>
      <c r="Y90" s="49" t="s">
        <v>12</v>
      </c>
      <c r="Z90" s="49" t="s">
        <v>13</v>
      </c>
      <c r="AA90" s="79" t="s">
        <v>105</v>
      </c>
      <c r="AB90" s="140"/>
      <c r="AC90" s="141"/>
      <c r="AD90" s="6" t="s">
        <v>15</v>
      </c>
      <c r="AE90" s="7"/>
      <c r="AK90" s="217">
        <f>SUM(AD91:AD143)</f>
        <v>0</v>
      </c>
      <c r="AL90" s="218"/>
    </row>
    <row r="91" spans="2:38" ht="123.75" customHeight="1" x14ac:dyDescent="2.1">
      <c r="B91" s="15" t="s">
        <v>106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2">
        <v>0</v>
      </c>
      <c r="Y91" s="14">
        <f>SUM(C91,E91,G91,I91,K91,,M91,O91,Q91,S91,U91,W91)</f>
        <v>0</v>
      </c>
      <c r="Z91" s="14">
        <f>SUM(D91,F91,H91,J91,L91,,N91,P91,R91,T91,V91)</f>
        <v>0</v>
      </c>
      <c r="AA91" s="15" t="s">
        <v>106</v>
      </c>
      <c r="AB91" s="220"/>
      <c r="AC91" s="221"/>
      <c r="AD91" s="16">
        <f>X91</f>
        <v>0</v>
      </c>
      <c r="AE91" s="7"/>
      <c r="AK91" s="219"/>
      <c r="AL91" s="218"/>
    </row>
    <row r="92" spans="2:38" s="64" customFormat="1" ht="38.25" customHeight="1" x14ac:dyDescent="2.1"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119">
        <v>0</v>
      </c>
      <c r="Y92" s="80"/>
      <c r="Z92" s="80"/>
      <c r="AA92" s="65"/>
      <c r="AB92" s="81"/>
      <c r="AC92" s="82"/>
      <c r="AD92" s="16">
        <f t="shared" ref="AD92:AD105" si="27">X92</f>
        <v>0</v>
      </c>
      <c r="AE92" s="17"/>
      <c r="AF92" s="2"/>
      <c r="AG92" s="2"/>
      <c r="AH92" s="2"/>
      <c r="AI92" s="2"/>
      <c r="AJ92" s="2"/>
      <c r="AK92" s="219"/>
      <c r="AL92" s="218"/>
    </row>
    <row r="93" spans="2:38" s="12" customFormat="1" ht="113.25" customHeight="1" x14ac:dyDescent="2.1">
      <c r="B93" s="13" t="s">
        <v>107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ref="Y93:Y105" si="28">SUM(C93,E93,G93,I93,K93,,M93,O93,Q93,S93,U93,W93)</f>
        <v>0</v>
      </c>
      <c r="Z93" s="14">
        <f t="shared" ref="Z93:Z105" si="29">SUM(D93,F93,H93,J93,L93,,N93,P93,R93,T93,V93)</f>
        <v>0</v>
      </c>
      <c r="AA93" s="13" t="s">
        <v>107</v>
      </c>
      <c r="AB93" s="178"/>
      <c r="AC93" s="179"/>
      <c r="AD93" s="16">
        <f t="shared" si="27"/>
        <v>0</v>
      </c>
      <c r="AE93" s="17"/>
      <c r="AF93" s="2"/>
      <c r="AG93" s="2"/>
      <c r="AH93" s="2"/>
      <c r="AI93" s="2"/>
      <c r="AJ93" s="2"/>
      <c r="AK93" s="219"/>
      <c r="AL93" s="218"/>
    </row>
    <row r="94" spans="2:38" s="12" customFormat="1" ht="113.25" customHeight="1" x14ac:dyDescent="2.1">
      <c r="B94" s="13" t="s">
        <v>108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108</v>
      </c>
      <c r="AB94" s="178"/>
      <c r="AC94" s="179"/>
      <c r="AD94" s="16">
        <f t="shared" si="27"/>
        <v>0</v>
      </c>
      <c r="AE94" s="17"/>
      <c r="AF94" s="2"/>
      <c r="AG94" s="2"/>
      <c r="AH94" s="2"/>
      <c r="AI94" s="2"/>
      <c r="AJ94" s="2"/>
      <c r="AK94" s="219"/>
      <c r="AL94" s="218"/>
    </row>
    <row r="95" spans="2:38" s="12" customFormat="1" ht="113.25" customHeight="1" thickBot="1" x14ac:dyDescent="2.15">
      <c r="B95" s="13" t="s">
        <v>109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109</v>
      </c>
      <c r="AB95" s="178"/>
      <c r="AC95" s="179"/>
      <c r="AD95" s="16">
        <f t="shared" si="27"/>
        <v>0</v>
      </c>
      <c r="AE95" s="17"/>
      <c r="AF95" s="2"/>
      <c r="AG95" s="2"/>
      <c r="AH95" s="2"/>
      <c r="AI95" s="2"/>
      <c r="AJ95" s="2"/>
      <c r="AK95" s="219"/>
      <c r="AL95" s="218"/>
    </row>
    <row r="96" spans="2:38" s="12" customFormat="1" ht="146.25" x14ac:dyDescent="2.1">
      <c r="B96" s="13" t="s">
        <v>110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110</v>
      </c>
      <c r="AB96" s="222">
        <f>SUM(Y96:Y105)</f>
        <v>0</v>
      </c>
      <c r="AC96" s="147"/>
      <c r="AD96" s="16">
        <f t="shared" si="27"/>
        <v>0</v>
      </c>
      <c r="AE96" s="17"/>
      <c r="AF96" s="168" t="s">
        <v>111</v>
      </c>
      <c r="AG96" s="169"/>
      <c r="AH96" s="169"/>
      <c r="AI96" s="169"/>
      <c r="AJ96" s="170"/>
      <c r="AK96" s="219"/>
      <c r="AL96" s="218"/>
    </row>
    <row r="97" spans="1:38" s="47" customFormat="1" ht="116.25" customHeight="1" x14ac:dyDescent="2.1">
      <c r="A97" s="12"/>
      <c r="B97" s="13" t="s">
        <v>112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112</v>
      </c>
      <c r="AB97" s="223"/>
      <c r="AC97" s="148"/>
      <c r="AD97" s="16">
        <f t="shared" si="27"/>
        <v>0</v>
      </c>
      <c r="AE97" s="17"/>
      <c r="AF97" s="171"/>
      <c r="AG97" s="160"/>
      <c r="AH97" s="160"/>
      <c r="AI97" s="160"/>
      <c r="AJ97" s="161"/>
      <c r="AK97" s="219"/>
      <c r="AL97" s="218"/>
    </row>
    <row r="98" spans="1:38" s="47" customFormat="1" ht="113.25" customHeight="1" x14ac:dyDescent="2.1">
      <c r="A98" s="12"/>
      <c r="B98" s="13" t="s">
        <v>113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113</v>
      </c>
      <c r="AB98" s="223"/>
      <c r="AC98" s="148"/>
      <c r="AD98" s="16">
        <f t="shared" si="27"/>
        <v>0</v>
      </c>
      <c r="AE98" s="17"/>
      <c r="AF98" s="171"/>
      <c r="AG98" s="160"/>
      <c r="AH98" s="160"/>
      <c r="AI98" s="160"/>
      <c r="AJ98" s="161"/>
      <c r="AK98" s="219"/>
      <c r="AL98" s="218"/>
    </row>
    <row r="99" spans="1:38" s="47" customFormat="1" ht="113.25" customHeight="1" x14ac:dyDescent="2.1">
      <c r="A99" s="12"/>
      <c r="B99" s="13" t="s">
        <v>114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114</v>
      </c>
      <c r="AB99" s="223"/>
      <c r="AC99" s="148"/>
      <c r="AD99" s="16">
        <f t="shared" si="27"/>
        <v>0</v>
      </c>
      <c r="AE99" s="17"/>
      <c r="AF99" s="171"/>
      <c r="AG99" s="160"/>
      <c r="AH99" s="160"/>
      <c r="AI99" s="160"/>
      <c r="AJ99" s="161"/>
      <c r="AK99" s="219"/>
      <c r="AL99" s="218"/>
    </row>
    <row r="100" spans="1:38" s="47" customFormat="1" ht="113.25" customHeight="1" x14ac:dyDescent="2.1">
      <c r="A100" s="12"/>
      <c r="B100" s="13" t="s">
        <v>115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115</v>
      </c>
      <c r="AB100" s="223"/>
      <c r="AC100" s="148"/>
      <c r="AD100" s="16">
        <f t="shared" si="27"/>
        <v>0</v>
      </c>
      <c r="AE100" s="17"/>
      <c r="AF100" s="171"/>
      <c r="AG100" s="160"/>
      <c r="AH100" s="160"/>
      <c r="AI100" s="160"/>
      <c r="AJ100" s="161"/>
      <c r="AK100" s="219"/>
      <c r="AL100" s="218"/>
    </row>
    <row r="101" spans="1:38" s="47" customFormat="1" ht="113.25" customHeight="1" x14ac:dyDescent="2.1">
      <c r="A101" s="12"/>
      <c r="B101" s="13" t="s">
        <v>116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116</v>
      </c>
      <c r="AB101" s="223"/>
      <c r="AC101" s="148"/>
      <c r="AD101" s="16">
        <f t="shared" si="27"/>
        <v>0</v>
      </c>
      <c r="AE101" s="17"/>
      <c r="AF101" s="225">
        <f>SUM(AD96:AD105)</f>
        <v>0</v>
      </c>
      <c r="AG101" s="226"/>
      <c r="AH101" s="226"/>
      <c r="AI101" s="226"/>
      <c r="AJ101" s="227"/>
      <c r="AK101" s="219"/>
      <c r="AL101" s="218"/>
    </row>
    <row r="102" spans="1:38" s="47" customFormat="1" ht="113.25" customHeight="1" x14ac:dyDescent="2.1">
      <c r="A102" s="12"/>
      <c r="B102" s="13" t="s">
        <v>117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117</v>
      </c>
      <c r="AB102" s="223"/>
      <c r="AC102" s="148"/>
      <c r="AD102" s="16">
        <f t="shared" si="27"/>
        <v>0</v>
      </c>
      <c r="AE102" s="17"/>
      <c r="AF102" s="39"/>
      <c r="AG102" s="24"/>
      <c r="AH102" s="24"/>
      <c r="AI102" s="24"/>
      <c r="AJ102" s="25"/>
      <c r="AK102" s="219"/>
      <c r="AL102" s="218"/>
    </row>
    <row r="103" spans="1:38" s="47" customFormat="1" ht="113.25" customHeight="1" x14ac:dyDescent="2.1">
      <c r="A103" s="12"/>
      <c r="B103" s="13" t="s">
        <v>118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2">
        <v>0</v>
      </c>
      <c r="Y103" s="14">
        <f t="shared" si="28"/>
        <v>0</v>
      </c>
      <c r="Z103" s="14">
        <f t="shared" si="29"/>
        <v>0</v>
      </c>
      <c r="AA103" s="13" t="s">
        <v>118</v>
      </c>
      <c r="AB103" s="223"/>
      <c r="AC103" s="148"/>
      <c r="AD103" s="16">
        <f t="shared" si="27"/>
        <v>0</v>
      </c>
      <c r="AE103" s="17"/>
      <c r="AF103" s="159"/>
      <c r="AG103" s="160"/>
      <c r="AH103" s="160"/>
      <c r="AI103" s="160"/>
      <c r="AJ103" s="161"/>
      <c r="AK103" s="219"/>
      <c r="AL103" s="218"/>
    </row>
    <row r="104" spans="1:38" s="47" customFormat="1" ht="113.25" customHeight="1" x14ac:dyDescent="2.1">
      <c r="A104" s="12"/>
      <c r="B104" s="13" t="s">
        <v>119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2">
        <v>0</v>
      </c>
      <c r="Y104" s="14">
        <f t="shared" si="28"/>
        <v>0</v>
      </c>
      <c r="Z104" s="14">
        <f t="shared" si="29"/>
        <v>0</v>
      </c>
      <c r="AA104" s="13" t="s">
        <v>119</v>
      </c>
      <c r="AB104" s="223"/>
      <c r="AC104" s="148"/>
      <c r="AD104" s="16">
        <f t="shared" si="27"/>
        <v>0</v>
      </c>
      <c r="AE104" s="17"/>
      <c r="AF104" s="26"/>
      <c r="AG104" s="27"/>
      <c r="AH104" s="27"/>
      <c r="AI104" s="27"/>
      <c r="AJ104" s="28"/>
      <c r="AK104" s="219"/>
      <c r="AL104" s="218"/>
    </row>
    <row r="105" spans="1:38" s="47" customFormat="1" ht="113.25" customHeight="1" thickBot="1" x14ac:dyDescent="2.15">
      <c r="A105" s="12"/>
      <c r="B105" s="13" t="s">
        <v>120</v>
      </c>
      <c r="C105" s="14">
        <v>0</v>
      </c>
      <c r="D105" s="14">
        <v>0</v>
      </c>
      <c r="E105" s="14">
        <v>0</v>
      </c>
      <c r="F105" s="14">
        <v>0</v>
      </c>
      <c r="G105" s="14">
        <v>0</v>
      </c>
      <c r="H105" s="14">
        <v>0</v>
      </c>
      <c r="I105" s="14">
        <v>0</v>
      </c>
      <c r="J105" s="14">
        <v>0</v>
      </c>
      <c r="K105" s="14">
        <v>0</v>
      </c>
      <c r="L105" s="14">
        <v>0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2">
        <v>0</v>
      </c>
      <c r="Y105" s="14">
        <f t="shared" si="28"/>
        <v>0</v>
      </c>
      <c r="Z105" s="14">
        <f t="shared" si="29"/>
        <v>0</v>
      </c>
      <c r="AA105" s="13" t="s">
        <v>120</v>
      </c>
      <c r="AB105" s="224"/>
      <c r="AC105" s="149"/>
      <c r="AD105" s="16">
        <f t="shared" si="27"/>
        <v>0</v>
      </c>
      <c r="AE105" s="17"/>
      <c r="AF105" s="83"/>
      <c r="AG105" s="84"/>
      <c r="AH105" s="84"/>
      <c r="AI105" s="84"/>
      <c r="AJ105" s="85"/>
      <c r="AK105" s="219"/>
      <c r="AL105" s="218"/>
    </row>
    <row r="106" spans="1:38" s="47" customFormat="1" ht="111" customHeight="1" x14ac:dyDescent="2.1">
      <c r="A106" s="12"/>
      <c r="B106" s="13"/>
      <c r="C106" s="30">
        <f>SUM(C96:C105)</f>
        <v>0</v>
      </c>
      <c r="D106" s="30">
        <f t="shared" ref="D106:W106" si="30">SUM(D96:D105)</f>
        <v>0</v>
      </c>
      <c r="E106" s="30">
        <f t="shared" si="30"/>
        <v>0</v>
      </c>
      <c r="F106" s="30">
        <f t="shared" si="30"/>
        <v>0</v>
      </c>
      <c r="G106" s="30">
        <f t="shared" si="30"/>
        <v>0</v>
      </c>
      <c r="H106" s="30">
        <f t="shared" si="30"/>
        <v>0</v>
      </c>
      <c r="I106" s="30">
        <f t="shared" si="30"/>
        <v>0</v>
      </c>
      <c r="J106" s="30">
        <f t="shared" si="30"/>
        <v>0</v>
      </c>
      <c r="K106" s="30">
        <f t="shared" si="30"/>
        <v>0</v>
      </c>
      <c r="L106" s="30">
        <f t="shared" si="30"/>
        <v>0</v>
      </c>
      <c r="M106" s="30">
        <f t="shared" si="30"/>
        <v>0</v>
      </c>
      <c r="N106" s="30">
        <f t="shared" si="30"/>
        <v>0</v>
      </c>
      <c r="O106" s="30">
        <f t="shared" si="30"/>
        <v>0</v>
      </c>
      <c r="P106" s="30">
        <f t="shared" si="30"/>
        <v>0</v>
      </c>
      <c r="Q106" s="30">
        <f t="shared" si="30"/>
        <v>0</v>
      </c>
      <c r="R106" s="30">
        <f t="shared" si="30"/>
        <v>0</v>
      </c>
      <c r="S106" s="30">
        <f t="shared" si="30"/>
        <v>0</v>
      </c>
      <c r="T106" s="30">
        <f t="shared" si="30"/>
        <v>0</v>
      </c>
      <c r="U106" s="30">
        <f t="shared" si="30"/>
        <v>0</v>
      </c>
      <c r="V106" s="30">
        <f t="shared" si="30"/>
        <v>0</v>
      </c>
      <c r="W106" s="30">
        <f t="shared" si="30"/>
        <v>0</v>
      </c>
      <c r="X106" s="113"/>
      <c r="Y106" s="14"/>
      <c r="Z106" s="14"/>
      <c r="AA106" s="13"/>
      <c r="AB106" s="187"/>
      <c r="AC106" s="188"/>
      <c r="AD106" s="33"/>
      <c r="AE106" s="17"/>
      <c r="AF106" s="150"/>
      <c r="AG106" s="151"/>
      <c r="AH106" s="151"/>
      <c r="AI106" s="151"/>
      <c r="AJ106" s="152"/>
      <c r="AK106" s="219"/>
      <c r="AL106" s="218"/>
    </row>
    <row r="107" spans="1:38" ht="126" customHeight="1" x14ac:dyDescent="0.25">
      <c r="B107" s="138" t="s">
        <v>220</v>
      </c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"/>
      <c r="AF107" s="153"/>
      <c r="AG107" s="154"/>
      <c r="AH107" s="154"/>
      <c r="AI107" s="154"/>
      <c r="AJ107" s="155"/>
      <c r="AK107" s="219"/>
      <c r="AL107" s="218"/>
    </row>
    <row r="108" spans="1:38" ht="123.75" customHeight="1" x14ac:dyDescent="2.1">
      <c r="B108" s="136" t="s">
        <v>121</v>
      </c>
      <c r="C108" s="134" t="s">
        <v>1</v>
      </c>
      <c r="D108" s="135"/>
      <c r="E108" s="134" t="s">
        <v>2</v>
      </c>
      <c r="F108" s="135"/>
      <c r="G108" s="134" t="s">
        <v>3</v>
      </c>
      <c r="H108" s="135"/>
      <c r="I108" s="134" t="s">
        <v>4</v>
      </c>
      <c r="J108" s="135"/>
      <c r="K108" s="134" t="s">
        <v>5</v>
      </c>
      <c r="L108" s="135"/>
      <c r="M108" s="134" t="s">
        <v>6</v>
      </c>
      <c r="N108" s="135"/>
      <c r="O108" s="134" t="s">
        <v>7</v>
      </c>
      <c r="P108" s="135"/>
      <c r="Q108" s="134" t="s">
        <v>8</v>
      </c>
      <c r="R108" s="135"/>
      <c r="S108" s="134" t="s">
        <v>9</v>
      </c>
      <c r="T108" s="135"/>
      <c r="U108" s="134" t="s">
        <v>10</v>
      </c>
      <c r="V108" s="135"/>
      <c r="W108" s="136" t="s">
        <v>11</v>
      </c>
      <c r="X108" s="110"/>
      <c r="Y108" s="136" t="s">
        <v>12</v>
      </c>
      <c r="Z108" s="136" t="s">
        <v>13</v>
      </c>
      <c r="AA108" s="136" t="s">
        <v>121</v>
      </c>
      <c r="AB108" s="140"/>
      <c r="AC108" s="141"/>
      <c r="AD108" s="6" t="s">
        <v>15</v>
      </c>
      <c r="AE108" s="7"/>
      <c r="AF108" s="153"/>
      <c r="AG108" s="154"/>
      <c r="AH108" s="154"/>
      <c r="AI108" s="154"/>
      <c r="AJ108" s="155"/>
      <c r="AK108" s="219"/>
      <c r="AL108" s="218"/>
    </row>
    <row r="109" spans="1:38" s="4" customFormat="1" ht="138" customHeight="1" x14ac:dyDescent="2.1">
      <c r="B109" s="137"/>
      <c r="C109" s="9" t="s">
        <v>16</v>
      </c>
      <c r="D109" s="9" t="s">
        <v>17</v>
      </c>
      <c r="E109" s="9" t="s">
        <v>16</v>
      </c>
      <c r="F109" s="9" t="s">
        <v>17</v>
      </c>
      <c r="G109" s="9" t="s">
        <v>16</v>
      </c>
      <c r="H109" s="9" t="s">
        <v>17</v>
      </c>
      <c r="I109" s="9" t="s">
        <v>16</v>
      </c>
      <c r="J109" s="9" t="s">
        <v>17</v>
      </c>
      <c r="K109" s="9" t="s">
        <v>16</v>
      </c>
      <c r="L109" s="9" t="s">
        <v>17</v>
      </c>
      <c r="M109" s="9" t="s">
        <v>16</v>
      </c>
      <c r="N109" s="9" t="s">
        <v>17</v>
      </c>
      <c r="O109" s="9" t="s">
        <v>16</v>
      </c>
      <c r="P109" s="9" t="s">
        <v>17</v>
      </c>
      <c r="Q109" s="9" t="s">
        <v>16</v>
      </c>
      <c r="R109" s="9" t="s">
        <v>17</v>
      </c>
      <c r="S109" s="9" t="s">
        <v>16</v>
      </c>
      <c r="T109" s="9" t="s">
        <v>17</v>
      </c>
      <c r="U109" s="9" t="s">
        <v>16</v>
      </c>
      <c r="V109" s="9" t="s">
        <v>17</v>
      </c>
      <c r="W109" s="137"/>
      <c r="X109" s="111"/>
      <c r="Y109" s="137"/>
      <c r="Z109" s="137"/>
      <c r="AA109" s="137"/>
      <c r="AB109" s="10"/>
      <c r="AC109" s="11"/>
      <c r="AD109" s="6"/>
      <c r="AE109" s="7"/>
      <c r="AF109" s="153"/>
      <c r="AG109" s="154"/>
      <c r="AH109" s="154"/>
      <c r="AI109" s="154"/>
      <c r="AJ109" s="155"/>
      <c r="AK109" s="219"/>
      <c r="AL109" s="218"/>
    </row>
    <row r="110" spans="1:38" s="47" customFormat="1" ht="111" customHeight="1" x14ac:dyDescent="2.1">
      <c r="A110" s="12"/>
      <c r="B110" s="13" t="s">
        <v>122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122</v>
      </c>
      <c r="AB110" s="222">
        <f>SUM(Y110:Y113)</f>
        <v>0</v>
      </c>
      <c r="AC110" s="147"/>
      <c r="AD110" s="16">
        <f>X110</f>
        <v>0</v>
      </c>
      <c r="AE110" s="17"/>
      <c r="AF110" s="153"/>
      <c r="AG110" s="154"/>
      <c r="AH110" s="154"/>
      <c r="AI110" s="154"/>
      <c r="AJ110" s="155"/>
      <c r="AK110" s="219"/>
      <c r="AL110" s="218"/>
    </row>
    <row r="111" spans="1:38" s="47" customFormat="1" ht="111" customHeight="1" x14ac:dyDescent="2.1">
      <c r="A111" s="12"/>
      <c r="B111" s="13" t="s">
        <v>123</v>
      </c>
      <c r="C111" s="14">
        <v>0</v>
      </c>
      <c r="D111" s="14">
        <v>0</v>
      </c>
      <c r="E111" s="14">
        <v>0</v>
      </c>
      <c r="F111" s="14">
        <v>0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2">
        <v>0</v>
      </c>
      <c r="Y111" s="14">
        <f>SUM(C111,E111,G111,I111,K111,,M111,O111,Q111,S111,U111,W111)</f>
        <v>0</v>
      </c>
      <c r="Z111" s="14">
        <f>SUM(D111,F111,H111,J111,L111,,N111,P111,R111,T111,V111)</f>
        <v>0</v>
      </c>
      <c r="AA111" s="13" t="s">
        <v>123</v>
      </c>
      <c r="AB111" s="223"/>
      <c r="AC111" s="148"/>
      <c r="AD111" s="16">
        <f t="shared" ref="AD111:AD141" si="31">X111</f>
        <v>0</v>
      </c>
      <c r="AE111" s="17"/>
      <c r="AF111" s="39"/>
      <c r="AG111" s="24"/>
      <c r="AH111" s="24"/>
      <c r="AI111" s="24"/>
      <c r="AJ111" s="25"/>
      <c r="AK111" s="219"/>
      <c r="AL111" s="218"/>
    </row>
    <row r="112" spans="1:38" s="47" customFormat="1" ht="111" customHeight="1" x14ac:dyDescent="2.1">
      <c r="A112" s="12"/>
      <c r="B112" s="13" t="s">
        <v>124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2">
        <v>0</v>
      </c>
      <c r="Y112" s="14">
        <f>SUM(C112,E112,G112,I112,K112,,M112,O112,Q112,S112,U112,W112)</f>
        <v>0</v>
      </c>
      <c r="Z112" s="14">
        <f>SUM(D112,F112,H112,J112,L112,,N112,P112,R112,T112,V112)</f>
        <v>0</v>
      </c>
      <c r="AA112" s="13" t="s">
        <v>124</v>
      </c>
      <c r="AB112" s="223"/>
      <c r="AC112" s="148"/>
      <c r="AD112" s="16">
        <f t="shared" si="31"/>
        <v>0</v>
      </c>
      <c r="AE112" s="17"/>
      <c r="AF112" s="39"/>
      <c r="AG112" s="24"/>
      <c r="AH112" s="24"/>
      <c r="AI112" s="24"/>
      <c r="AJ112" s="25"/>
      <c r="AK112" s="219"/>
      <c r="AL112" s="218"/>
    </row>
    <row r="113" spans="1:38" s="47" customFormat="1" ht="111" customHeight="1" x14ac:dyDescent="2.1">
      <c r="A113" s="12"/>
      <c r="B113" s="13" t="s">
        <v>125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2">
        <v>0</v>
      </c>
      <c r="Y113" s="14">
        <f>SUM(C113,E113,G113,I113,K113,,M113,O113,Q113,S113,U113,W113)</f>
        <v>0</v>
      </c>
      <c r="Z113" s="14">
        <f>SUM(D113,F113,H113,J113,L113,,N113,P113,R113,T113,V113)</f>
        <v>0</v>
      </c>
      <c r="AA113" s="13" t="s">
        <v>125</v>
      </c>
      <c r="AB113" s="223"/>
      <c r="AC113" s="148"/>
      <c r="AD113" s="16">
        <f t="shared" si="31"/>
        <v>0</v>
      </c>
      <c r="AE113" s="17"/>
      <c r="AF113" s="39"/>
      <c r="AG113" s="24"/>
      <c r="AH113" s="24"/>
      <c r="AI113" s="24"/>
      <c r="AJ113" s="25"/>
      <c r="AK113" s="219"/>
      <c r="AL113" s="218"/>
    </row>
    <row r="114" spans="1:38" s="47" customFormat="1" ht="111" customHeight="1" thickBot="1" x14ac:dyDescent="2.15">
      <c r="A114" s="12"/>
      <c r="B114" s="13"/>
      <c r="C114" s="30">
        <f>SUM(C110:C113)</f>
        <v>0</v>
      </c>
      <c r="D114" s="30">
        <f t="shared" ref="D114:W114" si="32">SUM(D110:D113)</f>
        <v>0</v>
      </c>
      <c r="E114" s="30">
        <f t="shared" si="32"/>
        <v>0</v>
      </c>
      <c r="F114" s="30">
        <f t="shared" si="32"/>
        <v>0</v>
      </c>
      <c r="G114" s="30">
        <f t="shared" si="32"/>
        <v>0</v>
      </c>
      <c r="H114" s="30">
        <f t="shared" si="32"/>
        <v>0</v>
      </c>
      <c r="I114" s="30">
        <f t="shared" si="32"/>
        <v>0</v>
      </c>
      <c r="J114" s="30">
        <f t="shared" si="32"/>
        <v>0</v>
      </c>
      <c r="K114" s="30">
        <f t="shared" si="32"/>
        <v>0</v>
      </c>
      <c r="L114" s="30">
        <f t="shared" si="32"/>
        <v>0</v>
      </c>
      <c r="M114" s="30">
        <f t="shared" si="32"/>
        <v>0</v>
      </c>
      <c r="N114" s="30">
        <f t="shared" si="32"/>
        <v>0</v>
      </c>
      <c r="O114" s="30">
        <f t="shared" si="32"/>
        <v>0</v>
      </c>
      <c r="P114" s="30">
        <f t="shared" si="32"/>
        <v>0</v>
      </c>
      <c r="Q114" s="30">
        <f t="shared" si="32"/>
        <v>0</v>
      </c>
      <c r="R114" s="30">
        <f t="shared" si="32"/>
        <v>0</v>
      </c>
      <c r="S114" s="30">
        <f t="shared" si="32"/>
        <v>0</v>
      </c>
      <c r="T114" s="30">
        <f t="shared" si="32"/>
        <v>0</v>
      </c>
      <c r="U114" s="30">
        <f t="shared" si="32"/>
        <v>0</v>
      </c>
      <c r="V114" s="30">
        <f t="shared" si="32"/>
        <v>0</v>
      </c>
      <c r="W114" s="30">
        <f t="shared" si="32"/>
        <v>0</v>
      </c>
      <c r="X114" s="113"/>
      <c r="Y114" s="14"/>
      <c r="Z114" s="14"/>
      <c r="AA114" s="13"/>
      <c r="AB114" s="224"/>
      <c r="AC114" s="149"/>
      <c r="AD114" s="16">
        <f t="shared" si="31"/>
        <v>0</v>
      </c>
      <c r="AE114" s="17"/>
      <c r="AF114" s="230"/>
      <c r="AG114" s="231"/>
      <c r="AH114" s="231"/>
      <c r="AI114" s="231"/>
      <c r="AJ114" s="232"/>
      <c r="AK114" s="219"/>
      <c r="AL114" s="218"/>
    </row>
    <row r="115" spans="1:38" s="12" customFormat="1" ht="113.25" customHeight="1" x14ac:dyDescent="2.1">
      <c r="B115" s="13" t="s">
        <v>126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ref="Y115:Y127" si="33">SUM(C115,E115,G115,I115,K115,,M115,O115,Q115,S115,U115,W115)</f>
        <v>0</v>
      </c>
      <c r="Z115" s="14">
        <f t="shared" ref="Z115:Z127" si="34">SUM(D115,F115,H115,J115,L115,,N115,P115,R115,T115,V115)</f>
        <v>0</v>
      </c>
      <c r="AA115" s="13" t="s">
        <v>126</v>
      </c>
      <c r="AB115" s="222">
        <f>SUM(Y115:Y127)</f>
        <v>0</v>
      </c>
      <c r="AC115" s="147"/>
      <c r="AD115" s="16">
        <f t="shared" si="31"/>
        <v>0</v>
      </c>
      <c r="AE115" s="17"/>
      <c r="AF115" s="168" t="s">
        <v>127</v>
      </c>
      <c r="AG115" s="169"/>
      <c r="AH115" s="169"/>
      <c r="AI115" s="169"/>
      <c r="AJ115" s="170"/>
      <c r="AK115" s="219"/>
      <c r="AL115" s="218"/>
    </row>
    <row r="116" spans="1:38" s="12" customFormat="1" ht="113.25" customHeight="1" x14ac:dyDescent="2.1">
      <c r="B116" s="13" t="s">
        <v>128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128</v>
      </c>
      <c r="AB116" s="223"/>
      <c r="AC116" s="148"/>
      <c r="AD116" s="16">
        <f t="shared" si="31"/>
        <v>0</v>
      </c>
      <c r="AE116" s="17"/>
      <c r="AF116" s="171"/>
      <c r="AG116" s="160"/>
      <c r="AH116" s="160"/>
      <c r="AI116" s="160"/>
      <c r="AJ116" s="161"/>
      <c r="AK116" s="228" t="s">
        <v>129</v>
      </c>
      <c r="AL116" s="229"/>
    </row>
    <row r="117" spans="1:38" s="12" customFormat="1" ht="113.25" customHeight="1" x14ac:dyDescent="2.1">
      <c r="B117" s="13" t="s">
        <v>130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130</v>
      </c>
      <c r="AB117" s="223"/>
      <c r="AC117" s="148"/>
      <c r="AD117" s="16">
        <f t="shared" si="31"/>
        <v>0</v>
      </c>
      <c r="AE117" s="17"/>
      <c r="AF117" s="171"/>
      <c r="AG117" s="160"/>
      <c r="AH117" s="160"/>
      <c r="AI117" s="160"/>
      <c r="AJ117" s="161"/>
      <c r="AK117" s="228"/>
      <c r="AL117" s="229"/>
    </row>
    <row r="118" spans="1:38" s="12" customFormat="1" ht="113.25" customHeight="1" x14ac:dyDescent="2.1">
      <c r="B118" s="13" t="s">
        <v>131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131</v>
      </c>
      <c r="AB118" s="223"/>
      <c r="AC118" s="148"/>
      <c r="AD118" s="16">
        <f t="shared" si="31"/>
        <v>0</v>
      </c>
      <c r="AE118" s="17"/>
      <c r="AF118" s="171"/>
      <c r="AG118" s="160"/>
      <c r="AH118" s="160"/>
      <c r="AI118" s="160"/>
      <c r="AJ118" s="161"/>
      <c r="AK118" s="228"/>
      <c r="AL118" s="229"/>
    </row>
    <row r="119" spans="1:38" s="12" customFormat="1" ht="113.25" customHeight="1" x14ac:dyDescent="2.1">
      <c r="B119" s="13" t="s">
        <v>132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132</v>
      </c>
      <c r="AB119" s="223"/>
      <c r="AC119" s="148"/>
      <c r="AD119" s="16">
        <f t="shared" si="31"/>
        <v>0</v>
      </c>
      <c r="AE119" s="17"/>
      <c r="AF119" s="171"/>
      <c r="AG119" s="160"/>
      <c r="AH119" s="160"/>
      <c r="AI119" s="160"/>
      <c r="AJ119" s="161"/>
      <c r="AK119" s="228"/>
      <c r="AL119" s="229"/>
    </row>
    <row r="120" spans="1:38" s="12" customFormat="1" ht="113.25" customHeight="1" x14ac:dyDescent="2.1">
      <c r="B120" s="13" t="s">
        <v>133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133</v>
      </c>
      <c r="AB120" s="223"/>
      <c r="AC120" s="148"/>
      <c r="AD120" s="16">
        <f t="shared" si="31"/>
        <v>0</v>
      </c>
      <c r="AE120" s="17"/>
      <c r="AF120" s="171"/>
      <c r="AG120" s="160"/>
      <c r="AH120" s="160"/>
      <c r="AI120" s="160"/>
      <c r="AJ120" s="161"/>
      <c r="AK120" s="228"/>
      <c r="AL120" s="229"/>
    </row>
    <row r="121" spans="1:38" s="47" customFormat="1" ht="113.25" customHeight="1" x14ac:dyDescent="2.1">
      <c r="A121" s="12"/>
      <c r="B121" s="13" t="s">
        <v>134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134</v>
      </c>
      <c r="AB121" s="223"/>
      <c r="AC121" s="148"/>
      <c r="AD121" s="16">
        <f t="shared" si="31"/>
        <v>0</v>
      </c>
      <c r="AE121" s="17"/>
      <c r="AF121" s="159">
        <f>SUM(AD115:AD127)</f>
        <v>0</v>
      </c>
      <c r="AG121" s="160"/>
      <c r="AH121" s="160"/>
      <c r="AI121" s="160"/>
      <c r="AJ121" s="161"/>
      <c r="AK121" s="228"/>
      <c r="AL121" s="229"/>
    </row>
    <row r="122" spans="1:38" s="47" customFormat="1" ht="120.75" customHeight="1" x14ac:dyDescent="2.1">
      <c r="A122" s="12"/>
      <c r="B122" s="13" t="s">
        <v>135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135</v>
      </c>
      <c r="AB122" s="223"/>
      <c r="AC122" s="148"/>
      <c r="AD122" s="16">
        <f t="shared" si="31"/>
        <v>0</v>
      </c>
      <c r="AE122" s="17"/>
      <c r="AF122" s="159"/>
      <c r="AG122" s="160"/>
      <c r="AH122" s="160"/>
      <c r="AI122" s="160"/>
      <c r="AJ122" s="161"/>
      <c r="AK122" s="228"/>
      <c r="AL122" s="229"/>
    </row>
    <row r="123" spans="1:38" s="12" customFormat="1" ht="113.25" customHeight="1" x14ac:dyDescent="2.1">
      <c r="B123" s="13" t="s">
        <v>136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136</v>
      </c>
      <c r="AB123" s="223"/>
      <c r="AC123" s="148"/>
      <c r="AD123" s="16">
        <f t="shared" si="31"/>
        <v>0</v>
      </c>
      <c r="AE123" s="17"/>
      <c r="AF123" s="26"/>
      <c r="AG123" s="27"/>
      <c r="AH123" s="27"/>
      <c r="AI123" s="27"/>
      <c r="AJ123" s="28"/>
      <c r="AK123" s="228"/>
      <c r="AL123" s="229"/>
    </row>
    <row r="124" spans="1:38" s="12" customFormat="1" ht="113.25" customHeight="1" x14ac:dyDescent="2.1">
      <c r="B124" s="13" t="s">
        <v>137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137</v>
      </c>
      <c r="AB124" s="223"/>
      <c r="AC124" s="148"/>
      <c r="AD124" s="16">
        <f t="shared" si="31"/>
        <v>0</v>
      </c>
      <c r="AE124" s="17"/>
      <c r="AF124" s="26"/>
      <c r="AG124" s="27"/>
      <c r="AH124" s="27"/>
      <c r="AI124" s="27"/>
      <c r="AJ124" s="28"/>
      <c r="AK124" s="228"/>
      <c r="AL124" s="229"/>
    </row>
    <row r="125" spans="1:38" s="12" customFormat="1" ht="113.25" customHeight="1" x14ac:dyDescent="2.1">
      <c r="B125" s="13" t="s">
        <v>138</v>
      </c>
      <c r="C125" s="14">
        <v>0</v>
      </c>
      <c r="D125" s="14">
        <v>0</v>
      </c>
      <c r="E125" s="14">
        <v>0</v>
      </c>
      <c r="F125" s="14">
        <v>0</v>
      </c>
      <c r="G125" s="14">
        <v>0</v>
      </c>
      <c r="H125" s="14">
        <v>0</v>
      </c>
      <c r="I125" s="14">
        <v>0</v>
      </c>
      <c r="J125" s="14">
        <v>0</v>
      </c>
      <c r="K125" s="14">
        <v>0</v>
      </c>
      <c r="L125" s="14">
        <v>0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2">
        <v>0</v>
      </c>
      <c r="Y125" s="14">
        <f t="shared" si="33"/>
        <v>0</v>
      </c>
      <c r="Z125" s="14">
        <f t="shared" si="34"/>
        <v>0</v>
      </c>
      <c r="AA125" s="13" t="s">
        <v>138</v>
      </c>
      <c r="AB125" s="223"/>
      <c r="AC125" s="148"/>
      <c r="AD125" s="16">
        <f t="shared" si="31"/>
        <v>0</v>
      </c>
      <c r="AE125" s="17"/>
      <c r="AF125" s="26"/>
      <c r="AG125" s="27"/>
      <c r="AH125" s="27"/>
      <c r="AI125" s="27"/>
      <c r="AJ125" s="28"/>
      <c r="AK125" s="228"/>
      <c r="AL125" s="229"/>
    </row>
    <row r="126" spans="1:38" s="12" customFormat="1" ht="113.25" customHeight="1" thickBot="1" x14ac:dyDescent="2.15">
      <c r="B126" s="13" t="s">
        <v>139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2">
        <v>0</v>
      </c>
      <c r="Y126" s="14">
        <f t="shared" si="33"/>
        <v>0</v>
      </c>
      <c r="Z126" s="14">
        <f t="shared" si="34"/>
        <v>0</v>
      </c>
      <c r="AA126" s="13" t="s">
        <v>139</v>
      </c>
      <c r="AB126" s="223"/>
      <c r="AC126" s="148"/>
      <c r="AD126" s="16">
        <f t="shared" si="31"/>
        <v>0</v>
      </c>
      <c r="AE126" s="17"/>
      <c r="AF126" s="83"/>
      <c r="AG126" s="84"/>
      <c r="AH126" s="84"/>
      <c r="AI126" s="84"/>
      <c r="AJ126" s="85"/>
      <c r="AK126" s="228"/>
      <c r="AL126" s="229"/>
    </row>
    <row r="127" spans="1:38" s="12" customFormat="1" ht="113.25" customHeight="1" thickBot="1" x14ac:dyDescent="2.15">
      <c r="B127" s="13" t="s">
        <v>140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2">
        <v>0</v>
      </c>
      <c r="Y127" s="14">
        <f t="shared" si="33"/>
        <v>0</v>
      </c>
      <c r="Z127" s="14">
        <f t="shared" si="34"/>
        <v>0</v>
      </c>
      <c r="AA127" s="13" t="s">
        <v>140</v>
      </c>
      <c r="AB127" s="223"/>
      <c r="AC127" s="148"/>
      <c r="AD127" s="16">
        <f t="shared" si="31"/>
        <v>0</v>
      </c>
      <c r="AE127" s="17"/>
      <c r="AF127" s="83"/>
      <c r="AG127" s="84"/>
      <c r="AH127" s="84"/>
      <c r="AI127" s="84"/>
      <c r="AJ127" s="85"/>
      <c r="AK127" s="228"/>
      <c r="AL127" s="229"/>
    </row>
    <row r="128" spans="1:38" s="12" customFormat="1" ht="113.25" customHeight="1" thickBot="1" x14ac:dyDescent="2.15">
      <c r="B128" s="13"/>
      <c r="C128" s="30">
        <f>SUM(C115:C127)</f>
        <v>0</v>
      </c>
      <c r="D128" s="30">
        <f t="shared" ref="D128:W128" si="35">SUM(D115:D127)</f>
        <v>0</v>
      </c>
      <c r="E128" s="30">
        <f t="shared" si="35"/>
        <v>0</v>
      </c>
      <c r="F128" s="30">
        <f t="shared" si="35"/>
        <v>0</v>
      </c>
      <c r="G128" s="30">
        <f t="shared" si="35"/>
        <v>0</v>
      </c>
      <c r="H128" s="30">
        <f t="shared" si="35"/>
        <v>0</v>
      </c>
      <c r="I128" s="30">
        <f t="shared" si="35"/>
        <v>0</v>
      </c>
      <c r="J128" s="30">
        <f t="shared" si="35"/>
        <v>0</v>
      </c>
      <c r="K128" s="30">
        <f t="shared" si="35"/>
        <v>0</v>
      </c>
      <c r="L128" s="30">
        <f t="shared" si="35"/>
        <v>0</v>
      </c>
      <c r="M128" s="30">
        <f t="shared" si="35"/>
        <v>0</v>
      </c>
      <c r="N128" s="30">
        <f t="shared" si="35"/>
        <v>0</v>
      </c>
      <c r="O128" s="30">
        <f t="shared" si="35"/>
        <v>0</v>
      </c>
      <c r="P128" s="30">
        <f t="shared" si="35"/>
        <v>0</v>
      </c>
      <c r="Q128" s="30">
        <f t="shared" si="35"/>
        <v>0</v>
      </c>
      <c r="R128" s="30">
        <f t="shared" si="35"/>
        <v>0</v>
      </c>
      <c r="S128" s="30">
        <f t="shared" si="35"/>
        <v>0</v>
      </c>
      <c r="T128" s="30">
        <f t="shared" si="35"/>
        <v>0</v>
      </c>
      <c r="U128" s="30">
        <f t="shared" si="35"/>
        <v>0</v>
      </c>
      <c r="V128" s="30">
        <f t="shared" si="35"/>
        <v>0</v>
      </c>
      <c r="W128" s="30">
        <f t="shared" si="35"/>
        <v>0</v>
      </c>
      <c r="X128" s="113">
        <v>0</v>
      </c>
      <c r="Y128" s="14"/>
      <c r="Z128" s="14"/>
      <c r="AA128" s="13"/>
      <c r="AB128" s="224"/>
      <c r="AC128" s="149"/>
      <c r="AD128" s="16">
        <f t="shared" si="31"/>
        <v>0</v>
      </c>
      <c r="AE128" s="17"/>
      <c r="AF128" s="39"/>
      <c r="AG128" s="24"/>
      <c r="AH128" s="24"/>
      <c r="AI128" s="24"/>
      <c r="AJ128" s="25"/>
      <c r="AK128" s="228"/>
      <c r="AL128" s="229"/>
    </row>
    <row r="129" spans="1:40" s="12" customFormat="1" ht="113.25" customHeight="1" x14ac:dyDescent="2.1">
      <c r="B129" s="13" t="s">
        <v>141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ref="Y129:Y140" si="36">SUM(C129,E129,G129,I129,K129,,M129,O129,Q129,S129,U129,W129)</f>
        <v>0</v>
      </c>
      <c r="Z129" s="14">
        <f t="shared" ref="Z129:Z140" si="37">SUM(D129,F129,H129,J129,L129,,N129,P129,R129,T129,V129)</f>
        <v>0</v>
      </c>
      <c r="AA129" s="13" t="s">
        <v>141</v>
      </c>
      <c r="AB129" s="222">
        <f>SUM(Y129:Y140)</f>
        <v>0</v>
      </c>
      <c r="AC129" s="147"/>
      <c r="AD129" s="16">
        <f t="shared" si="31"/>
        <v>0</v>
      </c>
      <c r="AE129" s="17"/>
      <c r="AF129" s="168" t="s">
        <v>142</v>
      </c>
      <c r="AG129" s="169"/>
      <c r="AH129" s="169"/>
      <c r="AI129" s="169"/>
      <c r="AJ129" s="170"/>
      <c r="AK129" s="228"/>
      <c r="AL129" s="229"/>
    </row>
    <row r="130" spans="1:40" s="12" customFormat="1" ht="113.25" customHeight="1" x14ac:dyDescent="2.1">
      <c r="B130" s="13" t="s">
        <v>213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213</v>
      </c>
      <c r="AB130" s="223"/>
      <c r="AC130" s="148"/>
      <c r="AD130" s="16">
        <f>X130</f>
        <v>0</v>
      </c>
      <c r="AE130" s="17"/>
      <c r="AF130" s="171"/>
      <c r="AG130" s="160"/>
      <c r="AH130" s="160"/>
      <c r="AI130" s="160"/>
      <c r="AJ130" s="161"/>
      <c r="AK130" s="228"/>
      <c r="AL130" s="229"/>
    </row>
    <row r="131" spans="1:40" s="12" customFormat="1" ht="113.25" customHeight="1" x14ac:dyDescent="2.1">
      <c r="B131" s="13" t="s">
        <v>143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143</v>
      </c>
      <c r="AB131" s="223"/>
      <c r="AC131" s="148"/>
      <c r="AD131" s="16">
        <f t="shared" si="31"/>
        <v>0</v>
      </c>
      <c r="AE131" s="17"/>
      <c r="AF131" s="171"/>
      <c r="AG131" s="160"/>
      <c r="AH131" s="160"/>
      <c r="AI131" s="160"/>
      <c r="AJ131" s="161"/>
      <c r="AK131" s="228"/>
      <c r="AL131" s="229"/>
    </row>
    <row r="132" spans="1:40" s="12" customFormat="1" ht="113.25" customHeight="1" x14ac:dyDescent="2.1">
      <c r="B132" s="13" t="s">
        <v>144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144</v>
      </c>
      <c r="AB132" s="223"/>
      <c r="AC132" s="148"/>
      <c r="AD132" s="16">
        <f t="shared" si="31"/>
        <v>0</v>
      </c>
      <c r="AE132" s="17"/>
      <c r="AF132" s="39"/>
      <c r="AG132" s="24"/>
      <c r="AH132" s="24"/>
      <c r="AI132" s="24"/>
      <c r="AJ132" s="25"/>
      <c r="AK132" s="228"/>
      <c r="AL132" s="229"/>
    </row>
    <row r="133" spans="1:40" s="12" customFormat="1" ht="113.25" customHeight="1" x14ac:dyDescent="2.1">
      <c r="B133" s="13" t="s">
        <v>145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145</v>
      </c>
      <c r="AB133" s="223"/>
      <c r="AC133" s="148"/>
      <c r="AD133" s="16">
        <f t="shared" si="31"/>
        <v>0</v>
      </c>
      <c r="AE133" s="17"/>
      <c r="AF133" s="159">
        <f>SUM(AD129:AD140)</f>
        <v>0</v>
      </c>
      <c r="AG133" s="160"/>
      <c r="AH133" s="160"/>
      <c r="AI133" s="160"/>
      <c r="AJ133" s="161"/>
      <c r="AK133" s="228"/>
      <c r="AL133" s="229"/>
    </row>
    <row r="134" spans="1:40" s="12" customFormat="1" ht="113.25" customHeight="1" x14ac:dyDescent="2.1">
      <c r="B134" s="13" t="s">
        <v>146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146</v>
      </c>
      <c r="AB134" s="223"/>
      <c r="AC134" s="148"/>
      <c r="AD134" s="16">
        <f t="shared" si="31"/>
        <v>0</v>
      </c>
      <c r="AE134" s="17"/>
      <c r="AF134" s="23"/>
      <c r="AG134" s="24"/>
      <c r="AH134" s="24"/>
      <c r="AI134" s="24"/>
      <c r="AJ134" s="25"/>
      <c r="AK134" s="228"/>
      <c r="AL134" s="229"/>
    </row>
    <row r="135" spans="1:40" s="12" customFormat="1" ht="113.25" customHeight="1" x14ac:dyDescent="2.1">
      <c r="B135" s="13" t="s">
        <v>147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147</v>
      </c>
      <c r="AB135" s="223"/>
      <c r="AC135" s="148"/>
      <c r="AD135" s="16">
        <f t="shared" si="31"/>
        <v>0</v>
      </c>
      <c r="AE135" s="17"/>
      <c r="AF135" s="26"/>
      <c r="AG135" s="27"/>
      <c r="AH135" s="27"/>
      <c r="AI135" s="27"/>
      <c r="AJ135" s="28"/>
      <c r="AK135" s="228"/>
      <c r="AL135" s="229"/>
    </row>
    <row r="136" spans="1:40" s="12" customFormat="1" ht="113.25" customHeight="1" x14ac:dyDescent="2.1">
      <c r="B136" s="13" t="s">
        <v>212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2">
        <v>0</v>
      </c>
      <c r="Y136" s="14">
        <f t="shared" si="36"/>
        <v>0</v>
      </c>
      <c r="Z136" s="14">
        <f t="shared" si="37"/>
        <v>0</v>
      </c>
      <c r="AA136" s="13" t="s">
        <v>212</v>
      </c>
      <c r="AB136" s="223"/>
      <c r="AC136" s="148"/>
      <c r="AD136" s="16">
        <f t="shared" si="31"/>
        <v>0</v>
      </c>
      <c r="AE136" s="17"/>
      <c r="AF136" s="27"/>
      <c r="AG136" s="27"/>
      <c r="AH136" s="27"/>
      <c r="AI136" s="27"/>
      <c r="AJ136" s="27"/>
      <c r="AK136" s="228"/>
      <c r="AL136" s="229"/>
    </row>
    <row r="137" spans="1:40" s="12" customFormat="1" ht="94.5" customHeight="1" x14ac:dyDescent="2.1">
      <c r="B137" s="13" t="s">
        <v>148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 t="shared" si="36"/>
        <v>0</v>
      </c>
      <c r="Z137" s="14">
        <f t="shared" si="37"/>
        <v>0</v>
      </c>
      <c r="AA137" s="13" t="s">
        <v>148</v>
      </c>
      <c r="AB137" s="223"/>
      <c r="AC137" s="148"/>
      <c r="AD137" s="16">
        <f t="shared" si="31"/>
        <v>0</v>
      </c>
      <c r="AE137" s="17"/>
      <c r="AF137"/>
      <c r="AG137"/>
      <c r="AH137"/>
      <c r="AI137"/>
      <c r="AJ137"/>
      <c r="AK137" s="228"/>
      <c r="AL137" s="229"/>
    </row>
    <row r="138" spans="1:40" s="12" customFormat="1" ht="146.25" x14ac:dyDescent="2.1">
      <c r="B138" s="13" t="s">
        <v>149</v>
      </c>
      <c r="C138" s="14">
        <v>0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2">
        <v>0</v>
      </c>
      <c r="Y138" s="14">
        <f t="shared" si="36"/>
        <v>0</v>
      </c>
      <c r="Z138" s="14">
        <f t="shared" si="37"/>
        <v>0</v>
      </c>
      <c r="AA138" s="13" t="s">
        <v>149</v>
      </c>
      <c r="AB138" s="223"/>
      <c r="AC138" s="148"/>
      <c r="AD138" s="16">
        <f t="shared" si="31"/>
        <v>0</v>
      </c>
      <c r="AE138" s="17"/>
      <c r="AF138" s="26"/>
      <c r="AG138" s="27"/>
      <c r="AH138" s="27"/>
      <c r="AI138" s="27"/>
      <c r="AJ138" s="28"/>
      <c r="AK138" s="228"/>
      <c r="AL138" s="229"/>
    </row>
    <row r="139" spans="1:40" s="12" customFormat="1" ht="146.25" x14ac:dyDescent="2.1">
      <c r="B139" s="13" t="s">
        <v>150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2">
        <v>0</v>
      </c>
      <c r="Y139" s="14">
        <f t="shared" si="36"/>
        <v>0</v>
      </c>
      <c r="Z139" s="14">
        <f t="shared" si="37"/>
        <v>0</v>
      </c>
      <c r="AA139" s="13" t="s">
        <v>150</v>
      </c>
      <c r="AB139" s="223"/>
      <c r="AC139" s="148"/>
      <c r="AD139" s="16">
        <f t="shared" si="31"/>
        <v>0</v>
      </c>
      <c r="AE139" s="17"/>
      <c r="AF139" s="26"/>
      <c r="AG139" s="27"/>
      <c r="AH139" s="27"/>
      <c r="AI139" s="27"/>
      <c r="AJ139" s="28"/>
      <c r="AK139" s="228"/>
      <c r="AL139" s="229"/>
    </row>
    <row r="140" spans="1:40" s="12" customFormat="1" ht="147" thickBot="1" x14ac:dyDescent="2.15">
      <c r="B140" s="13" t="s">
        <v>151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2">
        <v>0</v>
      </c>
      <c r="Y140" s="14">
        <f t="shared" si="36"/>
        <v>0</v>
      </c>
      <c r="Z140" s="14">
        <f t="shared" si="37"/>
        <v>0</v>
      </c>
      <c r="AA140" s="13" t="s">
        <v>151</v>
      </c>
      <c r="AB140" s="223"/>
      <c r="AC140" s="148"/>
      <c r="AD140" s="16">
        <f t="shared" si="31"/>
        <v>0</v>
      </c>
      <c r="AE140" s="17"/>
      <c r="AF140" s="83"/>
      <c r="AG140" s="84"/>
      <c r="AH140" s="84"/>
      <c r="AI140" s="84"/>
      <c r="AJ140" s="85"/>
      <c r="AK140" s="228"/>
      <c r="AL140" s="229"/>
    </row>
    <row r="141" spans="1:40" s="12" customFormat="1" ht="113.25" customHeight="1" thickBot="1" x14ac:dyDescent="2.15">
      <c r="B141" s="13"/>
      <c r="C141" s="30">
        <f>SUM(C129:C140)</f>
        <v>0</v>
      </c>
      <c r="D141" s="30">
        <f t="shared" ref="D141:W141" si="38">SUM(D129:D140)</f>
        <v>0</v>
      </c>
      <c r="E141" s="30">
        <f t="shared" si="38"/>
        <v>0</v>
      </c>
      <c r="F141" s="30">
        <f t="shared" si="38"/>
        <v>0</v>
      </c>
      <c r="G141" s="30">
        <f t="shared" si="38"/>
        <v>0</v>
      </c>
      <c r="H141" s="30">
        <f t="shared" si="38"/>
        <v>0</v>
      </c>
      <c r="I141" s="30">
        <f t="shared" si="38"/>
        <v>0</v>
      </c>
      <c r="J141" s="30">
        <f t="shared" si="38"/>
        <v>0</v>
      </c>
      <c r="K141" s="30">
        <f t="shared" si="38"/>
        <v>0</v>
      </c>
      <c r="L141" s="30">
        <f t="shared" si="38"/>
        <v>0</v>
      </c>
      <c r="M141" s="30">
        <f t="shared" si="38"/>
        <v>0</v>
      </c>
      <c r="N141" s="30">
        <f t="shared" si="38"/>
        <v>0</v>
      </c>
      <c r="O141" s="30">
        <f t="shared" si="38"/>
        <v>0</v>
      </c>
      <c r="P141" s="30">
        <f t="shared" si="38"/>
        <v>0</v>
      </c>
      <c r="Q141" s="30">
        <f t="shared" si="38"/>
        <v>0</v>
      </c>
      <c r="R141" s="30">
        <f t="shared" si="38"/>
        <v>0</v>
      </c>
      <c r="S141" s="30">
        <f t="shared" si="38"/>
        <v>0</v>
      </c>
      <c r="T141" s="30">
        <f t="shared" si="38"/>
        <v>0</v>
      </c>
      <c r="U141" s="30">
        <f t="shared" si="38"/>
        <v>0</v>
      </c>
      <c r="V141" s="30">
        <f t="shared" si="38"/>
        <v>0</v>
      </c>
      <c r="W141" s="30">
        <f t="shared" si="38"/>
        <v>0</v>
      </c>
      <c r="X141" s="113">
        <v>0</v>
      </c>
      <c r="Y141" s="14"/>
      <c r="Z141" s="14"/>
      <c r="AA141" s="13"/>
      <c r="AB141" s="224"/>
      <c r="AC141" s="149"/>
      <c r="AD141" s="16">
        <f t="shared" si="31"/>
        <v>0</v>
      </c>
      <c r="AE141" s="17"/>
      <c r="AF141" s="184" t="s">
        <v>152</v>
      </c>
      <c r="AG141" s="185"/>
      <c r="AH141" s="185"/>
      <c r="AI141" s="185"/>
      <c r="AJ141" s="185"/>
      <c r="AK141" s="228"/>
      <c r="AL141" s="229"/>
    </row>
    <row r="142" spans="1:40" s="12" customFormat="1" ht="113.25" customHeight="1" thickBot="1" x14ac:dyDescent="2.15">
      <c r="B142" s="13" t="s">
        <v>223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3">
        <v>0</v>
      </c>
      <c r="Y142" s="14">
        <f>SUM(C142,E142,G142,I142,K142,,M142,O142,Q142,S142,U142,W142)</f>
        <v>0</v>
      </c>
      <c r="Z142" s="14">
        <f>SUM(D142,F142,H142,J142,L142,,N142,P142,R142,T142,V142)</f>
        <v>0</v>
      </c>
      <c r="AA142" s="13" t="s">
        <v>223</v>
      </c>
      <c r="AB142" s="130"/>
      <c r="AC142" s="131"/>
      <c r="AD142" s="16">
        <f>X142</f>
        <v>0</v>
      </c>
      <c r="AE142" s="17"/>
      <c r="AF142" s="132"/>
      <c r="AG142" s="133"/>
      <c r="AH142" s="133"/>
      <c r="AI142" s="133"/>
      <c r="AJ142" s="133"/>
      <c r="AK142" s="228"/>
      <c r="AL142" s="229"/>
    </row>
    <row r="143" spans="1:40" s="12" customFormat="1" ht="146.25" x14ac:dyDescent="2.1">
      <c r="B143" s="13" t="s">
        <v>153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2">
        <v>0</v>
      </c>
      <c r="Y143" s="14">
        <f>SUM(C143,E143,G143,I143,K143,,M143,O143,Q143,S143,U143,W143)</f>
        <v>0</v>
      </c>
      <c r="Z143" s="14">
        <f>SUM(D143,F143,H143,J143,L143,,N143,P143,R143,T143,V143)</f>
        <v>0</v>
      </c>
      <c r="AA143" s="13" t="s">
        <v>153</v>
      </c>
      <c r="AB143" s="178"/>
      <c r="AC143" s="179"/>
      <c r="AD143" s="16">
        <f>X143</f>
        <v>0</v>
      </c>
      <c r="AE143" s="17"/>
      <c r="AF143" s="235">
        <f>AD143+AD142</f>
        <v>0</v>
      </c>
      <c r="AG143" s="185"/>
      <c r="AH143" s="185"/>
      <c r="AI143" s="185"/>
      <c r="AJ143" s="185"/>
      <c r="AK143" s="228"/>
      <c r="AL143" s="229"/>
    </row>
    <row r="144" spans="1:40" s="88" customFormat="1" ht="108" customHeight="1" x14ac:dyDescent="2.35">
      <c r="A144"/>
      <c r="B144" s="86" t="s">
        <v>154</v>
      </c>
      <c r="C144" s="134" t="s">
        <v>1</v>
      </c>
      <c r="D144" s="135"/>
      <c r="E144" s="134" t="s">
        <v>2</v>
      </c>
      <c r="F144" s="135"/>
      <c r="G144" s="134" t="s">
        <v>3</v>
      </c>
      <c r="H144" s="135"/>
      <c r="I144" s="134" t="s">
        <v>4</v>
      </c>
      <c r="J144" s="135"/>
      <c r="K144" s="134" t="s">
        <v>5</v>
      </c>
      <c r="L144" s="135"/>
      <c r="M144" s="134" t="s">
        <v>6</v>
      </c>
      <c r="N144" s="135"/>
      <c r="O144" s="134" t="s">
        <v>7</v>
      </c>
      <c r="P144" s="135"/>
      <c r="Q144" s="134" t="s">
        <v>8</v>
      </c>
      <c r="R144" s="135"/>
      <c r="S144" s="134" t="s">
        <v>9</v>
      </c>
      <c r="T144" s="135"/>
      <c r="U144" s="134" t="s">
        <v>10</v>
      </c>
      <c r="V144" s="135"/>
      <c r="W144" s="9" t="s">
        <v>11</v>
      </c>
      <c r="X144" s="118"/>
      <c r="Y144" s="49" t="s">
        <v>12</v>
      </c>
      <c r="Z144" s="49" t="s">
        <v>13</v>
      </c>
      <c r="AA144" s="86" t="s">
        <v>154</v>
      </c>
      <c r="AB144" s="233"/>
      <c r="AC144" s="234"/>
      <c r="AD144" s="6" t="s">
        <v>15</v>
      </c>
      <c r="AE144" s="7"/>
      <c r="AF144" s="2"/>
      <c r="AG144" s="2"/>
      <c r="AH144" s="2"/>
      <c r="AI144" s="2"/>
      <c r="AJ144" s="2"/>
      <c r="AK144" s="87"/>
      <c r="AL144" s="87"/>
      <c r="AM144" s="47"/>
      <c r="AN144" s="47"/>
    </row>
    <row r="145" spans="1:40" s="47" customFormat="1" ht="112.5" customHeight="1" x14ac:dyDescent="2.35">
      <c r="A145" s="12"/>
      <c r="B145" s="13" t="s">
        <v>155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2">
        <v>0</v>
      </c>
      <c r="Y145" s="14">
        <f>SUM(C145,E145,G145,I145,K145,,M145,O145,Q145,S145,U145,W145)</f>
        <v>0</v>
      </c>
      <c r="Z145" s="14">
        <f>SUM(D145,F145,H145,J145,L145,,N145,P145,R145,T145,V145)</f>
        <v>0</v>
      </c>
      <c r="AA145" s="13" t="s">
        <v>155</v>
      </c>
      <c r="AB145" s="180">
        <f>SUM(Y145:Y146)</f>
        <v>0</v>
      </c>
      <c r="AC145" s="181"/>
      <c r="AD145" s="16">
        <f>X145</f>
        <v>0</v>
      </c>
      <c r="AE145" s="17"/>
      <c r="AF145" s="2"/>
      <c r="AG145" s="2"/>
      <c r="AH145" s="2"/>
      <c r="AI145" s="2"/>
      <c r="AJ145" s="2"/>
      <c r="AK145" s="87"/>
      <c r="AL145" s="87"/>
    </row>
    <row r="146" spans="1:40" s="47" customFormat="1" ht="112.5" customHeight="1" x14ac:dyDescent="2.35">
      <c r="A146" s="12"/>
      <c r="B146" s="13" t="s">
        <v>156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>SUM(C146,E146,G146,I146,K146,,M146,O146,Q146,S146,U146,W146)</f>
        <v>0</v>
      </c>
      <c r="Z146" s="14">
        <f>SUM(D146,F146,H146,J146,L146,,N146,P146,R146,T146,V146)</f>
        <v>0</v>
      </c>
      <c r="AA146" s="13" t="s">
        <v>156</v>
      </c>
      <c r="AB146" s="182"/>
      <c r="AC146" s="183"/>
      <c r="AD146" s="16">
        <f>X146</f>
        <v>0</v>
      </c>
      <c r="AE146" s="17"/>
      <c r="AF146" s="2"/>
      <c r="AG146" s="2"/>
      <c r="AH146" s="2"/>
      <c r="AI146" s="2"/>
      <c r="AJ146" s="2"/>
      <c r="AK146" s="89"/>
      <c r="AL146" s="89"/>
      <c r="AM146" s="88"/>
      <c r="AN146" s="88"/>
    </row>
    <row r="147" spans="1:40" s="88" customFormat="1" ht="108" customHeight="1" x14ac:dyDescent="2.35">
      <c r="A147"/>
      <c r="B147" s="86" t="s">
        <v>211</v>
      </c>
      <c r="C147" s="134" t="s">
        <v>1</v>
      </c>
      <c r="D147" s="135"/>
      <c r="E147" s="134" t="s">
        <v>2</v>
      </c>
      <c r="F147" s="135"/>
      <c r="G147" s="134" t="s">
        <v>3</v>
      </c>
      <c r="H147" s="135"/>
      <c r="I147" s="134" t="s">
        <v>4</v>
      </c>
      <c r="J147" s="135"/>
      <c r="K147" s="134" t="s">
        <v>5</v>
      </c>
      <c r="L147" s="135"/>
      <c r="M147" s="134" t="s">
        <v>6</v>
      </c>
      <c r="N147" s="135"/>
      <c r="O147" s="134" t="s">
        <v>7</v>
      </c>
      <c r="P147" s="135"/>
      <c r="Q147" s="134" t="s">
        <v>8</v>
      </c>
      <c r="R147" s="135"/>
      <c r="S147" s="134" t="s">
        <v>9</v>
      </c>
      <c r="T147" s="135"/>
      <c r="U147" s="134" t="s">
        <v>10</v>
      </c>
      <c r="V147" s="135"/>
      <c r="W147" s="9" t="s">
        <v>11</v>
      </c>
      <c r="X147" s="118"/>
      <c r="Y147" s="49" t="s">
        <v>12</v>
      </c>
      <c r="Z147" s="49" t="s">
        <v>13</v>
      </c>
      <c r="AA147" s="86" t="s">
        <v>157</v>
      </c>
      <c r="AB147" s="233"/>
      <c r="AC147" s="234"/>
      <c r="AD147" s="6" t="s">
        <v>15</v>
      </c>
      <c r="AE147" s="7"/>
      <c r="AF147" s="2"/>
      <c r="AG147" s="2"/>
      <c r="AH147" s="2"/>
      <c r="AI147" s="2"/>
      <c r="AJ147" s="2"/>
      <c r="AK147" s="87"/>
      <c r="AL147" s="87"/>
      <c r="AM147" s="47"/>
      <c r="AN147" s="47"/>
    </row>
    <row r="148" spans="1:40" s="47" customFormat="1" ht="116.25" customHeight="1" x14ac:dyDescent="2.35">
      <c r="A148" s="12"/>
      <c r="B148" s="13" t="s">
        <v>158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2">
        <v>0</v>
      </c>
      <c r="Y148" s="14">
        <f t="shared" ref="Y148:Y158" si="39">SUM(C148,E148,G148,I148,K148,,M148,O148,Q148,S148,U148,W148)</f>
        <v>0</v>
      </c>
      <c r="Z148" s="14">
        <f t="shared" ref="Z148:Z158" si="40">SUM(D148,F148,H148,J148,L148,,N148,P148,R148,T148,V148)</f>
        <v>0</v>
      </c>
      <c r="AA148" s="13" t="s">
        <v>158</v>
      </c>
      <c r="AB148" s="222">
        <f>SUM(Y148:Y158)</f>
        <v>0</v>
      </c>
      <c r="AC148" s="147"/>
      <c r="AD148" s="16">
        <f>X148</f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157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si="39"/>
        <v>0</v>
      </c>
      <c r="Z149" s="14">
        <f t="shared" si="40"/>
        <v>0</v>
      </c>
      <c r="AA149" s="13" t="s">
        <v>157</v>
      </c>
      <c r="AB149" s="223"/>
      <c r="AC149" s="148"/>
      <c r="AD149" s="16">
        <f t="shared" ref="AD149:AD158" si="41">X149</f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x14ac:dyDescent="2.35">
      <c r="A150" s="12"/>
      <c r="B150" s="13" t="s">
        <v>159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159</v>
      </c>
      <c r="AB150" s="223"/>
      <c r="AC150" s="148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ht="116.25" customHeight="1" x14ac:dyDescent="2.35">
      <c r="A151" s="12"/>
      <c r="B151" s="13" t="s">
        <v>160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160</v>
      </c>
      <c r="AB151" s="223"/>
      <c r="AC151" s="148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ht="116.25" customHeight="1" x14ac:dyDescent="2.35">
      <c r="A152" s="12"/>
      <c r="B152" s="13" t="s">
        <v>161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161</v>
      </c>
      <c r="AB152" s="223"/>
      <c r="AC152" s="148"/>
      <c r="AD152" s="16">
        <f t="shared" si="41"/>
        <v>0</v>
      </c>
      <c r="AE152" s="17"/>
      <c r="AF152" s="2"/>
      <c r="AG152" s="2"/>
      <c r="AH152" s="2"/>
      <c r="AI152" s="2"/>
      <c r="AJ152" s="2"/>
      <c r="AK152" s="87"/>
      <c r="AL152" s="87"/>
    </row>
    <row r="153" spans="1:40" s="47" customFormat="1" ht="116.25" customHeight="1" x14ac:dyDescent="2.35">
      <c r="A153" s="12"/>
      <c r="B153" s="13" t="s">
        <v>162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2">
        <v>0</v>
      </c>
      <c r="Y153" s="14">
        <f t="shared" si="39"/>
        <v>0</v>
      </c>
      <c r="Z153" s="14">
        <f t="shared" si="40"/>
        <v>0</v>
      </c>
      <c r="AA153" s="13" t="s">
        <v>162</v>
      </c>
      <c r="AB153" s="223"/>
      <c r="AC153" s="148"/>
      <c r="AD153" s="16">
        <f t="shared" si="41"/>
        <v>0</v>
      </c>
      <c r="AE153" s="17"/>
      <c r="AF153" s="2"/>
      <c r="AG153" s="2"/>
      <c r="AH153" s="2"/>
      <c r="AI153" s="2"/>
      <c r="AJ153" s="2"/>
      <c r="AK153" s="87"/>
      <c r="AL153" s="87"/>
    </row>
    <row r="154" spans="1:40" s="47" customFormat="1" ht="116.25" customHeight="1" x14ac:dyDescent="2.35">
      <c r="A154" s="12"/>
      <c r="B154" s="13" t="s">
        <v>163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2">
        <v>0</v>
      </c>
      <c r="Y154" s="14">
        <f t="shared" si="39"/>
        <v>0</v>
      </c>
      <c r="Z154" s="14">
        <f t="shared" si="40"/>
        <v>0</v>
      </c>
      <c r="AA154" s="13" t="s">
        <v>163</v>
      </c>
      <c r="AB154" s="223"/>
      <c r="AC154" s="148"/>
      <c r="AD154" s="16">
        <f t="shared" si="41"/>
        <v>0</v>
      </c>
      <c r="AE154" s="17"/>
      <c r="AF154" s="2"/>
      <c r="AG154" s="2"/>
      <c r="AH154" s="2"/>
      <c r="AI154" s="2"/>
      <c r="AJ154" s="2"/>
      <c r="AK154" s="87"/>
      <c r="AL154" s="87"/>
    </row>
    <row r="155" spans="1:40" s="47" customFormat="1" ht="116.25" customHeight="1" x14ac:dyDescent="2.35">
      <c r="A155" s="12"/>
      <c r="B155" s="13" t="s">
        <v>164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2">
        <v>0</v>
      </c>
      <c r="Y155" s="14">
        <f t="shared" si="39"/>
        <v>0</v>
      </c>
      <c r="Z155" s="14">
        <f t="shared" si="40"/>
        <v>0</v>
      </c>
      <c r="AA155" s="13" t="s">
        <v>164</v>
      </c>
      <c r="AB155" s="223"/>
      <c r="AC155" s="148"/>
      <c r="AD155" s="16">
        <f t="shared" si="41"/>
        <v>0</v>
      </c>
      <c r="AE155" s="17"/>
      <c r="AF155" s="2"/>
      <c r="AG155" s="2"/>
      <c r="AH155" s="2"/>
      <c r="AI155" s="2"/>
      <c r="AJ155" s="2"/>
      <c r="AK155" s="87"/>
      <c r="AL155" s="87"/>
    </row>
    <row r="156" spans="1:40" s="47" customFormat="1" x14ac:dyDescent="2.35">
      <c r="A156" s="12"/>
      <c r="B156" s="13" t="s">
        <v>165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12">
        <v>0</v>
      </c>
      <c r="Y156" s="14">
        <f t="shared" si="39"/>
        <v>0</v>
      </c>
      <c r="Z156" s="14">
        <f t="shared" si="40"/>
        <v>0</v>
      </c>
      <c r="AA156" s="13" t="s">
        <v>165</v>
      </c>
      <c r="AB156" s="223"/>
      <c r="AC156" s="148"/>
      <c r="AD156" s="16">
        <f t="shared" si="41"/>
        <v>0</v>
      </c>
      <c r="AE156" s="17"/>
      <c r="AF156" s="2"/>
      <c r="AG156" s="2"/>
      <c r="AH156" s="2"/>
      <c r="AI156" s="2"/>
      <c r="AJ156" s="2"/>
      <c r="AK156" s="87"/>
      <c r="AL156" s="87"/>
    </row>
    <row r="157" spans="1:40" s="47" customFormat="1" x14ac:dyDescent="2.35">
      <c r="A157" s="12"/>
      <c r="B157" s="13" t="s">
        <v>166</v>
      </c>
      <c r="C157" s="14">
        <v>0</v>
      </c>
      <c r="D157" s="14">
        <v>0</v>
      </c>
      <c r="E157" s="14">
        <v>0</v>
      </c>
      <c r="F157" s="14">
        <v>0</v>
      </c>
      <c r="G157" s="14">
        <v>0</v>
      </c>
      <c r="H157" s="14">
        <v>0</v>
      </c>
      <c r="I157" s="14">
        <v>0</v>
      </c>
      <c r="J157" s="14">
        <v>0</v>
      </c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12">
        <v>0</v>
      </c>
      <c r="Y157" s="14">
        <f t="shared" si="39"/>
        <v>0</v>
      </c>
      <c r="Z157" s="14">
        <f t="shared" si="40"/>
        <v>0</v>
      </c>
      <c r="AA157" s="13" t="s">
        <v>167</v>
      </c>
      <c r="AB157" s="223"/>
      <c r="AC157" s="148"/>
      <c r="AD157" s="16">
        <f t="shared" si="41"/>
        <v>0</v>
      </c>
      <c r="AE157" s="17"/>
      <c r="AF157" s="2"/>
      <c r="AG157" s="2"/>
      <c r="AH157" s="2"/>
      <c r="AI157" s="2"/>
      <c r="AJ157" s="2"/>
      <c r="AK157" s="87"/>
      <c r="AL157" s="87"/>
    </row>
    <row r="158" spans="1:40" s="47" customFormat="1" ht="116.25" customHeight="1" x14ac:dyDescent="2.35">
      <c r="A158" s="12"/>
      <c r="B158" s="13" t="s">
        <v>168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12">
        <v>0</v>
      </c>
      <c r="Y158" s="14">
        <f t="shared" si="39"/>
        <v>0</v>
      </c>
      <c r="Z158" s="14">
        <f t="shared" si="40"/>
        <v>0</v>
      </c>
      <c r="AA158" s="13" t="s">
        <v>168</v>
      </c>
      <c r="AB158" s="224"/>
      <c r="AC158" s="149"/>
      <c r="AD158" s="16">
        <f t="shared" si="41"/>
        <v>0</v>
      </c>
      <c r="AE158" s="17"/>
      <c r="AF158" s="2"/>
      <c r="AG158" s="2"/>
      <c r="AH158" s="2"/>
      <c r="AI158" s="2"/>
      <c r="AJ158" s="2"/>
      <c r="AK158" s="90"/>
      <c r="AL158" s="90"/>
      <c r="AM158" s="91"/>
      <c r="AN158" s="88"/>
    </row>
    <row r="159" spans="1:40" s="12" customFormat="1" ht="113.25" customHeight="1" x14ac:dyDescent="2.1">
      <c r="B159" s="13"/>
      <c r="C159" s="30">
        <f t="shared" ref="C159:W159" si="42">SUM(C148:C158)</f>
        <v>0</v>
      </c>
      <c r="D159" s="30">
        <f t="shared" si="42"/>
        <v>0</v>
      </c>
      <c r="E159" s="30">
        <f t="shared" si="42"/>
        <v>0</v>
      </c>
      <c r="F159" s="30">
        <f t="shared" si="42"/>
        <v>0</v>
      </c>
      <c r="G159" s="30">
        <f t="shared" si="42"/>
        <v>0</v>
      </c>
      <c r="H159" s="30">
        <f t="shared" si="42"/>
        <v>0</v>
      </c>
      <c r="I159" s="30">
        <f t="shared" si="42"/>
        <v>0</v>
      </c>
      <c r="J159" s="30">
        <f t="shared" si="42"/>
        <v>0</v>
      </c>
      <c r="K159" s="30">
        <f t="shared" si="42"/>
        <v>0</v>
      </c>
      <c r="L159" s="30">
        <f t="shared" si="42"/>
        <v>0</v>
      </c>
      <c r="M159" s="30">
        <f t="shared" si="42"/>
        <v>0</v>
      </c>
      <c r="N159" s="30">
        <f t="shared" si="42"/>
        <v>0</v>
      </c>
      <c r="O159" s="30">
        <f t="shared" si="42"/>
        <v>0</v>
      </c>
      <c r="P159" s="30">
        <f t="shared" si="42"/>
        <v>0</v>
      </c>
      <c r="Q159" s="30">
        <f t="shared" si="42"/>
        <v>0</v>
      </c>
      <c r="R159" s="30">
        <f t="shared" si="42"/>
        <v>0</v>
      </c>
      <c r="S159" s="30">
        <f t="shared" si="42"/>
        <v>0</v>
      </c>
      <c r="T159" s="30">
        <f t="shared" si="42"/>
        <v>0</v>
      </c>
      <c r="U159" s="30">
        <f t="shared" si="42"/>
        <v>0</v>
      </c>
      <c r="V159" s="30">
        <f t="shared" si="42"/>
        <v>0</v>
      </c>
      <c r="W159" s="30">
        <f t="shared" si="42"/>
        <v>0</v>
      </c>
      <c r="X159" s="113"/>
      <c r="Y159" s="14"/>
      <c r="Z159" s="14"/>
      <c r="AA159" s="13"/>
      <c r="AB159" s="178"/>
      <c r="AC159" s="179"/>
      <c r="AD159" s="16">
        <v>0</v>
      </c>
      <c r="AE159" s="17"/>
      <c r="AF159" s="2"/>
      <c r="AG159" s="2"/>
      <c r="AH159" s="2"/>
      <c r="AI159" s="2"/>
      <c r="AJ159" s="2"/>
      <c r="AK159" s="92"/>
      <c r="AL159" s="92"/>
    </row>
    <row r="160" spans="1:40" ht="126" customHeight="1" x14ac:dyDescent="1.85">
      <c r="B160" s="138" t="s">
        <v>220</v>
      </c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"/>
      <c r="AK160" s="92"/>
      <c r="AL160" s="92"/>
    </row>
    <row r="161" spans="1:40" s="88" customFormat="1" ht="138.75" customHeight="1" x14ac:dyDescent="2.35">
      <c r="A161"/>
      <c r="B161" s="136" t="s">
        <v>169</v>
      </c>
      <c r="C161" s="134" t="s">
        <v>1</v>
      </c>
      <c r="D161" s="135"/>
      <c r="E161" s="134" t="s">
        <v>2</v>
      </c>
      <c r="F161" s="135"/>
      <c r="G161" s="134" t="s">
        <v>3</v>
      </c>
      <c r="H161" s="135"/>
      <c r="I161" s="134" t="s">
        <v>4</v>
      </c>
      <c r="J161" s="135"/>
      <c r="K161" s="134" t="s">
        <v>5</v>
      </c>
      <c r="L161" s="135"/>
      <c r="M161" s="134" t="s">
        <v>6</v>
      </c>
      <c r="N161" s="135"/>
      <c r="O161" s="134" t="s">
        <v>7</v>
      </c>
      <c r="P161" s="135"/>
      <c r="Q161" s="134" t="s">
        <v>8</v>
      </c>
      <c r="R161" s="135"/>
      <c r="S161" s="134" t="s">
        <v>9</v>
      </c>
      <c r="T161" s="135"/>
      <c r="U161" s="134" t="s">
        <v>10</v>
      </c>
      <c r="V161" s="135"/>
      <c r="W161" s="136" t="s">
        <v>11</v>
      </c>
      <c r="X161" s="110"/>
      <c r="Y161" s="136" t="s">
        <v>12</v>
      </c>
      <c r="Z161" s="136" t="s">
        <v>13</v>
      </c>
      <c r="AA161" s="136" t="s">
        <v>169</v>
      </c>
      <c r="AB161" s="233"/>
      <c r="AC161" s="234"/>
      <c r="AD161" s="6" t="s">
        <v>15</v>
      </c>
      <c r="AE161" s="7"/>
      <c r="AF161" s="2"/>
      <c r="AG161" s="2"/>
      <c r="AH161" s="2"/>
      <c r="AI161" s="2"/>
      <c r="AJ161" s="2"/>
      <c r="AK161" s="8"/>
      <c r="AL161" s="8"/>
      <c r="AM161" s="12"/>
      <c r="AN161" s="12"/>
    </row>
    <row r="162" spans="1:40" s="4" customFormat="1" ht="138" customHeight="1" x14ac:dyDescent="2.35">
      <c r="B162" s="137"/>
      <c r="C162" s="9" t="s">
        <v>16</v>
      </c>
      <c r="D162" s="9" t="s">
        <v>17</v>
      </c>
      <c r="E162" s="9" t="s">
        <v>16</v>
      </c>
      <c r="F162" s="9" t="s">
        <v>17</v>
      </c>
      <c r="G162" s="9" t="s">
        <v>16</v>
      </c>
      <c r="H162" s="9" t="s">
        <v>17</v>
      </c>
      <c r="I162" s="9" t="s">
        <v>16</v>
      </c>
      <c r="J162" s="9" t="s">
        <v>17</v>
      </c>
      <c r="K162" s="9" t="s">
        <v>16</v>
      </c>
      <c r="L162" s="9" t="s">
        <v>17</v>
      </c>
      <c r="M162" s="9" t="s">
        <v>16</v>
      </c>
      <c r="N162" s="9" t="s">
        <v>17</v>
      </c>
      <c r="O162" s="9" t="s">
        <v>16</v>
      </c>
      <c r="P162" s="9" t="s">
        <v>17</v>
      </c>
      <c r="Q162" s="9" t="s">
        <v>16</v>
      </c>
      <c r="R162" s="9" t="s">
        <v>17</v>
      </c>
      <c r="S162" s="9" t="s">
        <v>16</v>
      </c>
      <c r="T162" s="9" t="s">
        <v>17</v>
      </c>
      <c r="U162" s="9" t="s">
        <v>16</v>
      </c>
      <c r="V162" s="9" t="s">
        <v>17</v>
      </c>
      <c r="W162" s="137"/>
      <c r="X162" s="111"/>
      <c r="Y162" s="137"/>
      <c r="Z162" s="137"/>
      <c r="AA162" s="137"/>
      <c r="AB162" s="10"/>
      <c r="AC162" s="11"/>
      <c r="AD162" s="6">
        <v>0</v>
      </c>
      <c r="AE162" s="7"/>
      <c r="AF162" s="2"/>
      <c r="AG162" s="2"/>
      <c r="AH162" s="2"/>
      <c r="AI162" s="2"/>
      <c r="AJ162" s="2"/>
      <c r="AK162" s="8"/>
      <c r="AL162" s="8"/>
    </row>
    <row r="163" spans="1:40" s="12" customFormat="1" ht="110.25" customHeight="1" x14ac:dyDescent="2.35">
      <c r="B163" s="13" t="s">
        <v>170</v>
      </c>
      <c r="C163" s="14">
        <v>0</v>
      </c>
      <c r="D163" s="14">
        <v>0</v>
      </c>
      <c r="E163" s="14">
        <v>0</v>
      </c>
      <c r="F163" s="14">
        <v>0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12">
        <v>0</v>
      </c>
      <c r="Y163" s="14">
        <f t="shared" ref="Y163:Y168" si="43">SUM(C163,E163,G163,I163,K163,,M163,O163,Q163,S163,U163,W163)</f>
        <v>0</v>
      </c>
      <c r="Z163" s="14">
        <f t="shared" ref="Z163:Z168" si="44">SUM(D163,F163,H163,J163,L163,,N163,P163,R163,T163,V163)</f>
        <v>0</v>
      </c>
      <c r="AA163" s="13" t="s">
        <v>171</v>
      </c>
      <c r="AB163" s="222">
        <f>SUM(Y163:Y168)</f>
        <v>0</v>
      </c>
      <c r="AC163" s="147"/>
      <c r="AD163" s="16">
        <f>X163</f>
        <v>0</v>
      </c>
      <c r="AE163" s="17"/>
      <c r="AF163" s="2"/>
      <c r="AG163" s="2"/>
      <c r="AH163" s="2"/>
      <c r="AI163" s="2"/>
      <c r="AJ163" s="2"/>
      <c r="AK163" s="8"/>
      <c r="AL163" s="8"/>
    </row>
    <row r="164" spans="1:40" s="12" customFormat="1" ht="110.25" customHeight="1" x14ac:dyDescent="2.35">
      <c r="B164" s="13" t="s">
        <v>172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2">
        <v>0</v>
      </c>
      <c r="Y164" s="14">
        <f t="shared" si="43"/>
        <v>0</v>
      </c>
      <c r="Z164" s="14">
        <f t="shared" si="44"/>
        <v>0</v>
      </c>
      <c r="AA164" s="13" t="s">
        <v>172</v>
      </c>
      <c r="AB164" s="223"/>
      <c r="AC164" s="148"/>
      <c r="AD164" s="16">
        <f t="shared" ref="AD164:AD168" si="45">X164</f>
        <v>0</v>
      </c>
      <c r="AE164" s="17"/>
      <c r="AF164" s="2"/>
      <c r="AG164" s="2"/>
      <c r="AH164" s="2"/>
      <c r="AI164" s="2"/>
      <c r="AJ164" s="2"/>
      <c r="AK164" s="8"/>
      <c r="AL164" s="8"/>
    </row>
    <row r="165" spans="1:40" s="12" customFormat="1" ht="110.25" customHeight="1" x14ac:dyDescent="2.35">
      <c r="B165" s="13" t="s">
        <v>173</v>
      </c>
      <c r="C165" s="14">
        <v>0</v>
      </c>
      <c r="D165" s="14">
        <v>0</v>
      </c>
      <c r="E165" s="14">
        <v>0</v>
      </c>
      <c r="F165" s="14">
        <v>0</v>
      </c>
      <c r="G165" s="14">
        <v>0</v>
      </c>
      <c r="H165" s="14">
        <v>0</v>
      </c>
      <c r="I165" s="14">
        <v>0</v>
      </c>
      <c r="J165" s="14">
        <v>0</v>
      </c>
      <c r="K165" s="14">
        <v>0</v>
      </c>
      <c r="L165" s="14">
        <v>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2">
        <v>0</v>
      </c>
      <c r="Y165" s="14">
        <f t="shared" si="43"/>
        <v>0</v>
      </c>
      <c r="Z165" s="14">
        <f t="shared" si="44"/>
        <v>0</v>
      </c>
      <c r="AA165" s="13" t="s">
        <v>173</v>
      </c>
      <c r="AB165" s="223"/>
      <c r="AC165" s="148"/>
      <c r="AD165" s="16">
        <f t="shared" si="45"/>
        <v>0</v>
      </c>
      <c r="AE165" s="17"/>
      <c r="AF165" s="2"/>
      <c r="AG165" s="2"/>
      <c r="AH165" s="2"/>
      <c r="AI165" s="2"/>
      <c r="AJ165" s="2"/>
      <c r="AK165" s="8"/>
      <c r="AL165" s="8"/>
    </row>
    <row r="166" spans="1:40" s="12" customFormat="1" ht="110.25" customHeight="1" x14ac:dyDescent="2.35">
      <c r="B166" s="13" t="s">
        <v>174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2">
        <v>0</v>
      </c>
      <c r="Y166" s="14">
        <f t="shared" si="43"/>
        <v>0</v>
      </c>
      <c r="Z166" s="14">
        <f t="shared" si="44"/>
        <v>0</v>
      </c>
      <c r="AA166" s="13" t="s">
        <v>174</v>
      </c>
      <c r="AB166" s="223"/>
      <c r="AC166" s="148"/>
      <c r="AD166" s="16">
        <f t="shared" si="45"/>
        <v>0</v>
      </c>
      <c r="AE166" s="17"/>
      <c r="AF166" s="2"/>
      <c r="AG166" s="2"/>
      <c r="AH166" s="2"/>
      <c r="AI166" s="2"/>
      <c r="AJ166" s="2"/>
      <c r="AK166" s="8"/>
      <c r="AL166" s="8"/>
    </row>
    <row r="167" spans="1:40" s="12" customFormat="1" ht="110.25" customHeight="1" x14ac:dyDescent="2.35">
      <c r="B167" s="13" t="s">
        <v>175</v>
      </c>
      <c r="C167" s="14">
        <v>0</v>
      </c>
      <c r="D167" s="14">
        <v>0</v>
      </c>
      <c r="E167" s="14">
        <v>0</v>
      </c>
      <c r="F167" s="14">
        <v>0</v>
      </c>
      <c r="G167" s="14">
        <v>0</v>
      </c>
      <c r="H167" s="14">
        <v>0</v>
      </c>
      <c r="I167" s="14">
        <v>0</v>
      </c>
      <c r="J167" s="14">
        <v>0</v>
      </c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12">
        <v>0</v>
      </c>
      <c r="Y167" s="14">
        <f t="shared" si="43"/>
        <v>0</v>
      </c>
      <c r="Z167" s="14">
        <f t="shared" si="44"/>
        <v>0</v>
      </c>
      <c r="AA167" s="13" t="s">
        <v>175</v>
      </c>
      <c r="AB167" s="223"/>
      <c r="AC167" s="148"/>
      <c r="AD167" s="16">
        <f t="shared" si="45"/>
        <v>0</v>
      </c>
      <c r="AE167" s="17"/>
      <c r="AF167" s="2"/>
      <c r="AG167" s="2"/>
      <c r="AH167" s="2"/>
      <c r="AI167" s="2"/>
      <c r="AJ167" s="2"/>
      <c r="AK167" s="8"/>
      <c r="AL167" s="8"/>
    </row>
    <row r="168" spans="1:40" s="12" customFormat="1" ht="110.25" customHeight="1" x14ac:dyDescent="2.35">
      <c r="B168" s="13" t="s">
        <v>176</v>
      </c>
      <c r="C168" s="14">
        <v>0</v>
      </c>
      <c r="D168" s="14">
        <v>0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12">
        <v>0</v>
      </c>
      <c r="Y168" s="14">
        <f t="shared" si="43"/>
        <v>0</v>
      </c>
      <c r="Z168" s="14">
        <f t="shared" si="44"/>
        <v>0</v>
      </c>
      <c r="AA168" s="13" t="s">
        <v>176</v>
      </c>
      <c r="AB168" s="224"/>
      <c r="AC168" s="149"/>
      <c r="AD168" s="16">
        <f t="shared" si="45"/>
        <v>0</v>
      </c>
      <c r="AE168" s="17"/>
      <c r="AF168" s="2"/>
      <c r="AG168" s="2"/>
      <c r="AH168" s="2"/>
      <c r="AI168" s="2"/>
      <c r="AJ168" s="2"/>
      <c r="AK168" s="3"/>
      <c r="AL168" s="3"/>
      <c r="AM168" s="2"/>
      <c r="AN168" s="2"/>
    </row>
    <row r="169" spans="1:40" s="2" customFormat="1" ht="123.75" customHeight="1" thickBot="1" x14ac:dyDescent="2.4">
      <c r="B169" s="79" t="s">
        <v>177</v>
      </c>
      <c r="C169" s="134" t="s">
        <v>1</v>
      </c>
      <c r="D169" s="135"/>
      <c r="E169" s="134" t="s">
        <v>2</v>
      </c>
      <c r="F169" s="135"/>
      <c r="G169" s="134" t="s">
        <v>3</v>
      </c>
      <c r="H169" s="135"/>
      <c r="I169" s="134" t="s">
        <v>4</v>
      </c>
      <c r="J169" s="135"/>
      <c r="K169" s="134" t="s">
        <v>5</v>
      </c>
      <c r="L169" s="135"/>
      <c r="M169" s="134" t="s">
        <v>6</v>
      </c>
      <c r="N169" s="135"/>
      <c r="O169" s="134" t="s">
        <v>7</v>
      </c>
      <c r="P169" s="135"/>
      <c r="Q169" s="134" t="s">
        <v>8</v>
      </c>
      <c r="R169" s="135"/>
      <c r="S169" s="134" t="s">
        <v>9</v>
      </c>
      <c r="T169" s="135"/>
      <c r="U169" s="134" t="s">
        <v>10</v>
      </c>
      <c r="V169" s="135"/>
      <c r="W169" s="9" t="s">
        <v>11</v>
      </c>
      <c r="X169" s="117"/>
      <c r="Y169" s="238" t="s">
        <v>12</v>
      </c>
      <c r="Z169" s="239"/>
      <c r="AA169" s="79" t="s">
        <v>177</v>
      </c>
      <c r="AB169" s="140"/>
      <c r="AC169" s="141"/>
      <c r="AD169" s="6" t="s">
        <v>15</v>
      </c>
      <c r="AE169" s="7"/>
      <c r="AF169" s="93"/>
      <c r="AG169" s="93"/>
      <c r="AK169" s="8"/>
      <c r="AL169" s="8"/>
      <c r="AM169" s="12"/>
      <c r="AN169" s="12"/>
    </row>
    <row r="170" spans="1:40" s="12" customFormat="1" ht="123.75" customHeight="1" x14ac:dyDescent="2.35">
      <c r="B170" s="13" t="s">
        <v>178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0">
        <v>0</v>
      </c>
      <c r="Y170" s="236">
        <f t="shared" ref="Y170:Y195" si="46">SUM(C170:W170)</f>
        <v>0</v>
      </c>
      <c r="Z170" s="237"/>
      <c r="AA170" s="13" t="s">
        <v>178</v>
      </c>
      <c r="AB170" s="222">
        <f>SUM(Y170:Y177)</f>
        <v>0</v>
      </c>
      <c r="AC170" s="147"/>
      <c r="AD170" s="16">
        <f>X170</f>
        <v>0</v>
      </c>
      <c r="AE170" s="94"/>
      <c r="AF170" s="168" t="s">
        <v>179</v>
      </c>
      <c r="AG170" s="169"/>
      <c r="AH170" s="169"/>
      <c r="AI170" s="169"/>
      <c r="AJ170" s="170"/>
      <c r="AK170" s="8"/>
      <c r="AL170" s="8"/>
    </row>
    <row r="171" spans="1:40" s="12" customFormat="1" ht="123.75" customHeight="1" x14ac:dyDescent="2.35">
      <c r="B171" s="13" t="s">
        <v>180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236">
        <f t="shared" si="46"/>
        <v>0</v>
      </c>
      <c r="Z171" s="237"/>
      <c r="AA171" s="13" t="s">
        <v>180</v>
      </c>
      <c r="AB171" s="223"/>
      <c r="AC171" s="148"/>
      <c r="AD171" s="16">
        <f t="shared" ref="AD171:AD176" si="47">X171</f>
        <v>0</v>
      </c>
      <c r="AE171" s="94"/>
      <c r="AF171" s="171"/>
      <c r="AG171" s="160"/>
      <c r="AH171" s="160"/>
      <c r="AI171" s="160"/>
      <c r="AJ171" s="161"/>
      <c r="AK171" s="8"/>
      <c r="AL171" s="8"/>
    </row>
    <row r="172" spans="1:40" s="12" customFormat="1" ht="123.75" customHeight="1" x14ac:dyDescent="2.35">
      <c r="B172" s="13" t="s">
        <v>181</v>
      </c>
      <c r="C172" s="19">
        <v>0</v>
      </c>
      <c r="D172" s="20"/>
      <c r="E172" s="19">
        <v>0</v>
      </c>
      <c r="F172" s="20"/>
      <c r="G172" s="19">
        <v>0</v>
      </c>
      <c r="H172" s="20"/>
      <c r="I172" s="19">
        <v>0</v>
      </c>
      <c r="J172" s="20"/>
      <c r="K172" s="19">
        <v>0</v>
      </c>
      <c r="L172" s="20"/>
      <c r="M172" s="19">
        <v>0</v>
      </c>
      <c r="N172" s="20"/>
      <c r="O172" s="19">
        <v>0</v>
      </c>
      <c r="P172" s="20"/>
      <c r="Q172" s="19">
        <v>0</v>
      </c>
      <c r="R172" s="20"/>
      <c r="S172" s="19">
        <v>0</v>
      </c>
      <c r="T172" s="20"/>
      <c r="U172" s="19">
        <v>0</v>
      </c>
      <c r="V172" s="20"/>
      <c r="W172" s="14">
        <v>0</v>
      </c>
      <c r="X172" s="120">
        <v>0</v>
      </c>
      <c r="Y172" s="236">
        <f t="shared" si="46"/>
        <v>0</v>
      </c>
      <c r="Z172" s="237"/>
      <c r="AA172" s="13" t="s">
        <v>181</v>
      </c>
      <c r="AB172" s="223"/>
      <c r="AC172" s="148"/>
      <c r="AD172" s="16">
        <f t="shared" si="47"/>
        <v>0</v>
      </c>
      <c r="AE172" s="94"/>
      <c r="AF172" s="171"/>
      <c r="AG172" s="160"/>
      <c r="AH172" s="160"/>
      <c r="AI172" s="160"/>
      <c r="AJ172" s="161"/>
      <c r="AK172" s="8"/>
      <c r="AL172" s="8"/>
    </row>
    <row r="173" spans="1:40" s="12" customFormat="1" ht="123.75" customHeight="1" x14ac:dyDescent="2.35">
      <c r="B173" s="13" t="s">
        <v>182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236">
        <f t="shared" si="46"/>
        <v>0</v>
      </c>
      <c r="Z173" s="237"/>
      <c r="AA173" s="13" t="s">
        <v>182</v>
      </c>
      <c r="AB173" s="223"/>
      <c r="AC173" s="148"/>
      <c r="AD173" s="16">
        <f t="shared" si="47"/>
        <v>0</v>
      </c>
      <c r="AE173" s="94"/>
      <c r="AF173" s="171"/>
      <c r="AG173" s="160"/>
      <c r="AH173" s="160"/>
      <c r="AI173" s="160"/>
      <c r="AJ173" s="161"/>
      <c r="AK173" s="8"/>
      <c r="AL173" s="8"/>
    </row>
    <row r="174" spans="1:40" s="12" customFormat="1" ht="123.75" customHeight="1" x14ac:dyDescent="2.35">
      <c r="B174" s="13" t="s">
        <v>183</v>
      </c>
      <c r="C174" s="19">
        <v>0</v>
      </c>
      <c r="D174" s="20"/>
      <c r="E174" s="19">
        <v>0</v>
      </c>
      <c r="F174" s="20"/>
      <c r="G174" s="19">
        <v>0</v>
      </c>
      <c r="H174" s="20"/>
      <c r="I174" s="19">
        <v>0</v>
      </c>
      <c r="J174" s="20"/>
      <c r="K174" s="19">
        <v>0</v>
      </c>
      <c r="L174" s="20"/>
      <c r="M174" s="19">
        <v>0</v>
      </c>
      <c r="N174" s="20"/>
      <c r="O174" s="19">
        <v>0</v>
      </c>
      <c r="P174" s="20"/>
      <c r="Q174" s="19">
        <v>0</v>
      </c>
      <c r="R174" s="20"/>
      <c r="S174" s="19">
        <v>0</v>
      </c>
      <c r="T174" s="20"/>
      <c r="U174" s="19">
        <v>0</v>
      </c>
      <c r="V174" s="20"/>
      <c r="W174" s="14">
        <v>0</v>
      </c>
      <c r="X174" s="120">
        <v>0</v>
      </c>
      <c r="Y174" s="236">
        <f t="shared" si="46"/>
        <v>0</v>
      </c>
      <c r="Z174" s="237"/>
      <c r="AA174" s="13" t="s">
        <v>183</v>
      </c>
      <c r="AB174" s="223"/>
      <c r="AC174" s="148"/>
      <c r="AD174" s="16">
        <f t="shared" si="47"/>
        <v>0</v>
      </c>
      <c r="AE174" s="94"/>
      <c r="AF174" s="159">
        <f>SUM(AD170:AD177)</f>
        <v>0</v>
      </c>
      <c r="AG174" s="160"/>
      <c r="AH174" s="160"/>
      <c r="AI174" s="160"/>
      <c r="AJ174" s="161"/>
      <c r="AK174" s="8"/>
      <c r="AL174" s="8"/>
    </row>
    <row r="175" spans="1:40" s="12" customFormat="1" ht="123.75" customHeight="1" x14ac:dyDescent="2.35">
      <c r="B175" s="13" t="s">
        <v>184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0">
        <v>0</v>
      </c>
      <c r="Y175" s="236">
        <f t="shared" si="46"/>
        <v>0</v>
      </c>
      <c r="Z175" s="237"/>
      <c r="AA175" s="13" t="s">
        <v>184</v>
      </c>
      <c r="AB175" s="223"/>
      <c r="AC175" s="148"/>
      <c r="AD175" s="16">
        <f t="shared" si="47"/>
        <v>0</v>
      </c>
      <c r="AE175" s="94"/>
      <c r="AF175" s="26"/>
      <c r="AG175" s="27"/>
      <c r="AH175" s="27"/>
      <c r="AI175" s="27"/>
      <c r="AJ175" s="28"/>
      <c r="AK175" s="8"/>
      <c r="AL175" s="8"/>
    </row>
    <row r="176" spans="1:40" s="12" customFormat="1" ht="123.75" customHeight="1" thickBot="1" x14ac:dyDescent="2.4">
      <c r="B176" s="13" t="s">
        <v>185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0">
        <v>0</v>
      </c>
      <c r="Y176" s="236">
        <f t="shared" si="46"/>
        <v>0</v>
      </c>
      <c r="Z176" s="237"/>
      <c r="AA176" s="13" t="s">
        <v>185</v>
      </c>
      <c r="AB176" s="223"/>
      <c r="AC176" s="148"/>
      <c r="AD176" s="16">
        <f t="shared" si="47"/>
        <v>0</v>
      </c>
      <c r="AE176" s="94"/>
      <c r="AF176" s="83"/>
      <c r="AG176" s="84"/>
      <c r="AH176" s="84"/>
      <c r="AI176" s="84"/>
      <c r="AJ176" s="85"/>
      <c r="AK176" s="8"/>
      <c r="AL176" s="8"/>
    </row>
    <row r="177" spans="2:38" s="12" customFormat="1" ht="123.75" customHeight="1" x14ac:dyDescent="2.35">
      <c r="B177" s="13" t="s">
        <v>186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236">
        <f t="shared" si="46"/>
        <v>0</v>
      </c>
      <c r="Z177" s="237"/>
      <c r="AA177" s="13" t="s">
        <v>186</v>
      </c>
      <c r="AB177" s="224"/>
      <c r="AC177" s="149"/>
      <c r="AD177" s="16">
        <f>X177</f>
        <v>0</v>
      </c>
      <c r="AE177" s="94"/>
      <c r="AF177" s="24"/>
      <c r="AG177" s="24"/>
      <c r="AH177" s="24"/>
      <c r="AI177" s="24"/>
      <c r="AJ177" s="24"/>
      <c r="AK177" s="8"/>
      <c r="AL177" s="8"/>
    </row>
    <row r="178" spans="2:38" ht="123.75" customHeight="1" x14ac:dyDescent="2.35">
      <c r="B178" s="86" t="s">
        <v>187</v>
      </c>
      <c r="C178" s="95">
        <f>SUM(C170:C177)</f>
        <v>0</v>
      </c>
      <c r="D178" s="96"/>
      <c r="E178" s="95">
        <f t="shared" ref="E178:W178" si="48">SUM(E170:E177)</f>
        <v>0</v>
      </c>
      <c r="F178" s="96"/>
      <c r="G178" s="95">
        <f t="shared" si="48"/>
        <v>0</v>
      </c>
      <c r="H178" s="96"/>
      <c r="I178" s="95">
        <f t="shared" si="48"/>
        <v>0</v>
      </c>
      <c r="J178" s="96"/>
      <c r="K178" s="95">
        <f t="shared" si="48"/>
        <v>0</v>
      </c>
      <c r="L178" s="96"/>
      <c r="M178" s="95">
        <f t="shared" si="48"/>
        <v>0</v>
      </c>
      <c r="N178" s="96"/>
      <c r="O178" s="95">
        <f t="shared" si="48"/>
        <v>0</v>
      </c>
      <c r="P178" s="96"/>
      <c r="Q178" s="95">
        <f t="shared" si="48"/>
        <v>0</v>
      </c>
      <c r="R178" s="96"/>
      <c r="S178" s="95">
        <f t="shared" si="48"/>
        <v>0</v>
      </c>
      <c r="T178" s="96"/>
      <c r="U178" s="95">
        <f t="shared" si="48"/>
        <v>0</v>
      </c>
      <c r="V178" s="96"/>
      <c r="W178" s="97">
        <f t="shared" si="48"/>
        <v>0</v>
      </c>
      <c r="X178" s="121"/>
      <c r="Y178" s="238">
        <f t="shared" si="46"/>
        <v>0</v>
      </c>
      <c r="Z178" s="239"/>
      <c r="AA178" s="86" t="s">
        <v>188</v>
      </c>
      <c r="AB178" s="233"/>
      <c r="AC178" s="234"/>
      <c r="AD178" s="6" t="s">
        <v>15</v>
      </c>
      <c r="AE178" s="7"/>
    </row>
    <row r="179" spans="2:38" s="12" customFormat="1" ht="123.75" customHeight="1" x14ac:dyDescent="2.35">
      <c r="B179" s="13" t="s">
        <v>189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0">
        <v>0</v>
      </c>
      <c r="Y179" s="236">
        <f t="shared" si="46"/>
        <v>0</v>
      </c>
      <c r="Z179" s="237"/>
      <c r="AA179" s="13" t="s">
        <v>189</v>
      </c>
      <c r="AB179" s="178"/>
      <c r="AC179" s="179"/>
      <c r="AD179" s="16">
        <f>X179</f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38" s="12" customFormat="1" ht="123.75" customHeight="1" x14ac:dyDescent="2.35">
      <c r="B180" s="13" t="s">
        <v>190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236">
        <f t="shared" si="46"/>
        <v>0</v>
      </c>
      <c r="Z180" s="237"/>
      <c r="AA180" s="13" t="s">
        <v>190</v>
      </c>
      <c r="AB180" s="178"/>
      <c r="AC180" s="179"/>
      <c r="AD180" s="16">
        <f>X180</f>
        <v>0</v>
      </c>
      <c r="AE180" s="98"/>
      <c r="AF180" s="99"/>
      <c r="AG180" s="99"/>
      <c r="AH180" s="99"/>
      <c r="AI180" s="99"/>
      <c r="AJ180" s="99"/>
      <c r="AK180" s="8"/>
      <c r="AL180" s="8"/>
    </row>
    <row r="181" spans="2:38" s="12" customFormat="1" ht="123.75" customHeight="1" x14ac:dyDescent="2.35">
      <c r="B181" s="13" t="s">
        <v>191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236">
        <f t="shared" si="46"/>
        <v>0</v>
      </c>
      <c r="Z181" s="237"/>
      <c r="AA181" s="13" t="s">
        <v>191</v>
      </c>
      <c r="AB181" s="178"/>
      <c r="AC181" s="179"/>
      <c r="AD181" s="16">
        <f>X181</f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38" s="12" customFormat="1" ht="123.75" customHeight="1" x14ac:dyDescent="2.35">
      <c r="B182" s="13" t="s">
        <v>192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236">
        <f t="shared" si="46"/>
        <v>0</v>
      </c>
      <c r="Z182" s="237"/>
      <c r="AA182" s="13" t="s">
        <v>192</v>
      </c>
      <c r="AB182" s="178"/>
      <c r="AC182" s="179"/>
      <c r="AD182" s="16">
        <f t="shared" ref="AD182:AD195" si="49">X182</f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38" s="12" customFormat="1" ht="123.75" customHeight="1" x14ac:dyDescent="2.35">
      <c r="B183" s="13" t="s">
        <v>193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236">
        <f t="shared" si="46"/>
        <v>0</v>
      </c>
      <c r="Z183" s="237"/>
      <c r="AA183" s="13" t="s">
        <v>193</v>
      </c>
      <c r="AB183" s="178"/>
      <c r="AC183" s="179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38" s="12" customFormat="1" ht="123.75" customHeight="1" x14ac:dyDescent="2.35">
      <c r="B184" s="13" t="s">
        <v>194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236">
        <f t="shared" si="46"/>
        <v>0</v>
      </c>
      <c r="Z184" s="237"/>
      <c r="AA184" s="13" t="s">
        <v>194</v>
      </c>
      <c r="AB184" s="178"/>
      <c r="AC184" s="179"/>
      <c r="AD184" s="16">
        <f t="shared" si="49"/>
        <v>0</v>
      </c>
      <c r="AE184" s="98"/>
      <c r="AF184" s="99"/>
      <c r="AG184" s="240"/>
      <c r="AH184" s="240"/>
      <c r="AI184" s="240"/>
      <c r="AJ184" s="99"/>
      <c r="AK184" s="8"/>
      <c r="AL184" s="8"/>
    </row>
    <row r="185" spans="2:38" s="12" customFormat="1" ht="127.5" customHeight="1" x14ac:dyDescent="2.35">
      <c r="B185" s="13" t="s">
        <v>195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236">
        <f t="shared" si="46"/>
        <v>0</v>
      </c>
      <c r="Z185" s="237"/>
      <c r="AA185" s="13" t="s">
        <v>195</v>
      </c>
      <c r="AB185" s="178"/>
      <c r="AC185" s="179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38" s="12" customFormat="1" ht="135" customHeight="1" x14ac:dyDescent="2.35">
      <c r="B186" s="13" t="s">
        <v>196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236">
        <f t="shared" si="46"/>
        <v>0</v>
      </c>
      <c r="Z186" s="237"/>
      <c r="AA186" s="13" t="s">
        <v>196</v>
      </c>
      <c r="AB186" s="178"/>
      <c r="AC186" s="179"/>
      <c r="AD186" s="16">
        <f t="shared" si="49"/>
        <v>0</v>
      </c>
      <c r="AE186" s="98"/>
      <c r="AF186" s="99"/>
      <c r="AG186" s="99"/>
      <c r="AH186" s="99"/>
      <c r="AI186" s="99"/>
      <c r="AJ186" s="99"/>
      <c r="AK186" s="8"/>
      <c r="AL186" s="8"/>
    </row>
    <row r="187" spans="2:38" s="12" customFormat="1" ht="123.75" customHeight="1" x14ac:dyDescent="2.35">
      <c r="B187" s="13" t="s">
        <v>197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236">
        <f t="shared" si="46"/>
        <v>0</v>
      </c>
      <c r="Z187" s="237"/>
      <c r="AA187" s="13" t="s">
        <v>197</v>
      </c>
      <c r="AB187" s="178"/>
      <c r="AC187" s="179"/>
      <c r="AD187" s="16">
        <f t="shared" si="49"/>
        <v>0</v>
      </c>
      <c r="AE187" s="98"/>
      <c r="AF187" s="99"/>
      <c r="AG187" s="99"/>
      <c r="AH187" s="99"/>
      <c r="AI187" s="99"/>
      <c r="AJ187" s="99"/>
      <c r="AK187" s="8"/>
      <c r="AL187" s="8"/>
    </row>
    <row r="188" spans="2:38" s="12" customFormat="1" ht="123.75" customHeight="1" x14ac:dyDescent="2.35">
      <c r="B188" s="13" t="s">
        <v>209</v>
      </c>
      <c r="C188" s="19">
        <v>0</v>
      </c>
      <c r="D188" s="20"/>
      <c r="E188" s="19">
        <v>0</v>
      </c>
      <c r="F188" s="20"/>
      <c r="G188" s="19">
        <v>0</v>
      </c>
      <c r="H188" s="20"/>
      <c r="I188" s="19">
        <v>0</v>
      </c>
      <c r="J188" s="20"/>
      <c r="K188" s="19">
        <v>0</v>
      </c>
      <c r="L188" s="20"/>
      <c r="M188" s="19">
        <v>0</v>
      </c>
      <c r="N188" s="20"/>
      <c r="O188" s="19">
        <v>0</v>
      </c>
      <c r="P188" s="20"/>
      <c r="Q188" s="19">
        <v>0</v>
      </c>
      <c r="R188" s="20"/>
      <c r="S188" s="19">
        <v>0</v>
      </c>
      <c r="T188" s="20"/>
      <c r="U188" s="19">
        <v>0</v>
      </c>
      <c r="V188" s="20"/>
      <c r="W188" s="14">
        <v>0</v>
      </c>
      <c r="X188" s="120">
        <v>0</v>
      </c>
      <c r="Y188" s="236">
        <f>SUM(C188:W188)</f>
        <v>0</v>
      </c>
      <c r="Z188" s="237"/>
      <c r="AA188" s="13" t="s">
        <v>209</v>
      </c>
      <c r="AB188" s="125" t="s">
        <v>210</v>
      </c>
      <c r="AC188" s="126"/>
      <c r="AD188" s="16">
        <f t="shared" si="49"/>
        <v>0</v>
      </c>
      <c r="AE188" s="98"/>
      <c r="AF188" s="99"/>
      <c r="AG188" s="99"/>
      <c r="AH188" s="99"/>
      <c r="AI188" s="99"/>
      <c r="AJ188" s="99"/>
      <c r="AK188" s="8"/>
      <c r="AL188" s="8"/>
    </row>
    <row r="189" spans="2:38" s="12" customFormat="1" ht="123.75" customHeight="1" x14ac:dyDescent="2.35">
      <c r="B189" s="13" t="s">
        <v>221</v>
      </c>
      <c r="C189" s="19">
        <v>0</v>
      </c>
      <c r="D189" s="20"/>
      <c r="E189" s="19">
        <v>0</v>
      </c>
      <c r="F189" s="20"/>
      <c r="G189" s="19">
        <v>0</v>
      </c>
      <c r="H189" s="20"/>
      <c r="I189" s="19">
        <v>0</v>
      </c>
      <c r="J189" s="20"/>
      <c r="K189" s="19">
        <v>0</v>
      </c>
      <c r="L189" s="20"/>
      <c r="M189" s="19">
        <v>0</v>
      </c>
      <c r="N189" s="20"/>
      <c r="O189" s="19">
        <v>0</v>
      </c>
      <c r="P189" s="20"/>
      <c r="Q189" s="19">
        <v>0</v>
      </c>
      <c r="R189" s="20"/>
      <c r="S189" s="19">
        <v>0</v>
      </c>
      <c r="T189" s="20"/>
      <c r="U189" s="19">
        <v>0</v>
      </c>
      <c r="V189" s="20"/>
      <c r="W189" s="14">
        <v>0</v>
      </c>
      <c r="X189" s="120">
        <v>0</v>
      </c>
      <c r="Y189" s="236">
        <f>SUM(C189:W189)</f>
        <v>0</v>
      </c>
      <c r="Z189" s="237"/>
      <c r="AA189" s="13" t="s">
        <v>221</v>
      </c>
      <c r="AB189" s="125"/>
      <c r="AC189" s="126"/>
      <c r="AD189" s="16">
        <f>X189</f>
        <v>0</v>
      </c>
      <c r="AE189" s="98"/>
      <c r="AF189" s="99"/>
      <c r="AG189" s="99"/>
      <c r="AH189" s="99"/>
      <c r="AI189" s="99"/>
      <c r="AJ189" s="99"/>
      <c r="AK189" s="8"/>
      <c r="AL189" s="8"/>
    </row>
    <row r="190" spans="2:38" s="12" customFormat="1" ht="123.75" customHeight="1" x14ac:dyDescent="2.35">
      <c r="B190" s="13" t="s">
        <v>198</v>
      </c>
      <c r="C190" s="19">
        <v>0</v>
      </c>
      <c r="D190" s="20"/>
      <c r="E190" s="19">
        <v>0</v>
      </c>
      <c r="F190" s="20"/>
      <c r="G190" s="19">
        <v>0</v>
      </c>
      <c r="H190" s="20"/>
      <c r="I190" s="19">
        <v>0</v>
      </c>
      <c r="J190" s="20"/>
      <c r="K190" s="19">
        <v>0</v>
      </c>
      <c r="L190" s="20"/>
      <c r="M190" s="19">
        <v>0</v>
      </c>
      <c r="N190" s="20"/>
      <c r="O190" s="19">
        <v>0</v>
      </c>
      <c r="P190" s="20"/>
      <c r="Q190" s="19">
        <v>0</v>
      </c>
      <c r="R190" s="20"/>
      <c r="S190" s="19">
        <v>0</v>
      </c>
      <c r="T190" s="20"/>
      <c r="U190" s="19">
        <v>0</v>
      </c>
      <c r="V190" s="20"/>
      <c r="W190" s="14">
        <v>0</v>
      </c>
      <c r="X190" s="120">
        <v>0</v>
      </c>
      <c r="Y190" s="236">
        <f t="shared" si="46"/>
        <v>0</v>
      </c>
      <c r="Z190" s="237"/>
      <c r="AA190" s="13" t="s">
        <v>198</v>
      </c>
      <c r="AB190" s="178"/>
      <c r="AC190" s="179"/>
      <c r="AD190" s="16">
        <f t="shared" si="49"/>
        <v>0</v>
      </c>
      <c r="AE190" s="98"/>
      <c r="AF190" s="99"/>
      <c r="AG190" s="99"/>
      <c r="AH190" s="99"/>
      <c r="AI190" s="99"/>
      <c r="AJ190" s="99"/>
      <c r="AK190" s="8"/>
      <c r="AL190" s="8"/>
    </row>
    <row r="191" spans="2:38" s="12" customFormat="1" ht="123.75" customHeight="1" x14ac:dyDescent="2.35">
      <c r="B191" s="13" t="s">
        <v>199</v>
      </c>
      <c r="C191" s="19">
        <v>0</v>
      </c>
      <c r="D191" s="20"/>
      <c r="E191" s="19">
        <v>0</v>
      </c>
      <c r="F191" s="20"/>
      <c r="G191" s="19">
        <v>0</v>
      </c>
      <c r="H191" s="20"/>
      <c r="I191" s="19">
        <v>0</v>
      </c>
      <c r="J191" s="20"/>
      <c r="K191" s="19">
        <v>0</v>
      </c>
      <c r="L191" s="20"/>
      <c r="M191" s="19">
        <v>0</v>
      </c>
      <c r="N191" s="20"/>
      <c r="O191" s="19">
        <v>0</v>
      </c>
      <c r="P191" s="20"/>
      <c r="Q191" s="19">
        <v>0</v>
      </c>
      <c r="R191" s="20"/>
      <c r="S191" s="19">
        <v>0</v>
      </c>
      <c r="T191" s="20"/>
      <c r="U191" s="19">
        <v>0</v>
      </c>
      <c r="V191" s="20"/>
      <c r="W191" s="14">
        <v>0</v>
      </c>
      <c r="X191" s="120">
        <v>0</v>
      </c>
      <c r="Y191" s="236">
        <f t="shared" si="46"/>
        <v>0</v>
      </c>
      <c r="Z191" s="237"/>
      <c r="AA191" s="13" t="s">
        <v>199</v>
      </c>
      <c r="AB191" s="178"/>
      <c r="AC191" s="179"/>
      <c r="AD191" s="16">
        <f t="shared" si="49"/>
        <v>0</v>
      </c>
      <c r="AE191" s="98"/>
      <c r="AF191" s="99"/>
      <c r="AG191" s="99"/>
      <c r="AH191" s="99"/>
      <c r="AI191" s="99"/>
      <c r="AJ191" s="99"/>
      <c r="AK191" s="8"/>
      <c r="AL191" s="8"/>
    </row>
    <row r="192" spans="2:38" s="12" customFormat="1" ht="123.75" customHeight="1" x14ac:dyDescent="2.35">
      <c r="B192" s="13" t="s">
        <v>200</v>
      </c>
      <c r="C192" s="19">
        <v>0</v>
      </c>
      <c r="D192" s="20"/>
      <c r="E192" s="19">
        <v>0</v>
      </c>
      <c r="F192" s="20"/>
      <c r="G192" s="19">
        <v>0</v>
      </c>
      <c r="H192" s="20"/>
      <c r="I192" s="19">
        <v>0</v>
      </c>
      <c r="J192" s="20"/>
      <c r="K192" s="19">
        <v>0</v>
      </c>
      <c r="L192" s="20"/>
      <c r="M192" s="19">
        <v>0</v>
      </c>
      <c r="N192" s="20"/>
      <c r="O192" s="19">
        <v>0</v>
      </c>
      <c r="P192" s="20"/>
      <c r="Q192" s="19">
        <v>0</v>
      </c>
      <c r="R192" s="20"/>
      <c r="S192" s="19">
        <v>0</v>
      </c>
      <c r="T192" s="20"/>
      <c r="U192" s="19">
        <v>0</v>
      </c>
      <c r="V192" s="20"/>
      <c r="W192" s="14">
        <v>0</v>
      </c>
      <c r="X192" s="120">
        <v>0</v>
      </c>
      <c r="Y192" s="236">
        <f t="shared" si="46"/>
        <v>0</v>
      </c>
      <c r="Z192" s="237"/>
      <c r="AA192" s="13" t="s">
        <v>200</v>
      </c>
      <c r="AB192" s="178"/>
      <c r="AC192" s="179"/>
      <c r="AD192" s="16">
        <f t="shared" si="49"/>
        <v>0</v>
      </c>
      <c r="AE192" s="98"/>
      <c r="AF192" s="99"/>
      <c r="AG192" s="99"/>
      <c r="AH192" s="99"/>
      <c r="AI192" s="99"/>
      <c r="AJ192" s="99"/>
      <c r="AK192" s="8"/>
      <c r="AL192" s="8"/>
    </row>
    <row r="193" spans="2:40" s="12" customFormat="1" ht="123.75" customHeight="1" x14ac:dyDescent="2.35">
      <c r="B193" s="13" t="s">
        <v>224</v>
      </c>
      <c r="C193" s="19">
        <v>0</v>
      </c>
      <c r="D193" s="20"/>
      <c r="E193" s="19">
        <v>0</v>
      </c>
      <c r="F193" s="20"/>
      <c r="G193" s="19">
        <v>0</v>
      </c>
      <c r="H193" s="20"/>
      <c r="I193" s="19">
        <v>0</v>
      </c>
      <c r="J193" s="20"/>
      <c r="K193" s="19">
        <v>0</v>
      </c>
      <c r="L193" s="20"/>
      <c r="M193" s="19">
        <v>0</v>
      </c>
      <c r="N193" s="20"/>
      <c r="O193" s="19">
        <v>0</v>
      </c>
      <c r="P193" s="20"/>
      <c r="Q193" s="19">
        <v>0</v>
      </c>
      <c r="R193" s="20"/>
      <c r="S193" s="19">
        <v>0</v>
      </c>
      <c r="T193" s="20"/>
      <c r="U193" s="19">
        <v>0</v>
      </c>
      <c r="V193" s="20"/>
      <c r="W193" s="14">
        <v>0</v>
      </c>
      <c r="X193" s="120">
        <v>0</v>
      </c>
      <c r="Y193" s="236">
        <f t="shared" ref="Y193" si="50">SUM(C193:W193)</f>
        <v>0</v>
      </c>
      <c r="Z193" s="237"/>
      <c r="AA193" s="13" t="s">
        <v>224</v>
      </c>
      <c r="AB193" s="125"/>
      <c r="AC193" s="126"/>
      <c r="AD193" s="16">
        <f>X193</f>
        <v>0</v>
      </c>
      <c r="AE193" s="98"/>
      <c r="AF193" s="99"/>
      <c r="AG193" s="99"/>
      <c r="AH193" s="99"/>
      <c r="AI193" s="99"/>
      <c r="AJ193" s="99"/>
      <c r="AK193" s="8"/>
      <c r="AL193" s="8"/>
    </row>
    <row r="194" spans="2:40" s="12" customFormat="1" ht="123.75" customHeight="1" x14ac:dyDescent="2.35">
      <c r="B194" s="13" t="s">
        <v>201</v>
      </c>
      <c r="C194" s="19">
        <v>0</v>
      </c>
      <c r="D194" s="20"/>
      <c r="E194" s="19">
        <v>0</v>
      </c>
      <c r="F194" s="20"/>
      <c r="G194" s="19">
        <v>0</v>
      </c>
      <c r="H194" s="20"/>
      <c r="I194" s="19">
        <v>0</v>
      </c>
      <c r="J194" s="20"/>
      <c r="K194" s="19">
        <v>0</v>
      </c>
      <c r="L194" s="20"/>
      <c r="M194" s="19">
        <v>0</v>
      </c>
      <c r="N194" s="20"/>
      <c r="O194" s="19">
        <v>0</v>
      </c>
      <c r="P194" s="20"/>
      <c r="Q194" s="19">
        <v>0</v>
      </c>
      <c r="R194" s="20"/>
      <c r="S194" s="19">
        <v>0</v>
      </c>
      <c r="T194" s="20"/>
      <c r="U194" s="19">
        <v>0</v>
      </c>
      <c r="V194" s="20"/>
      <c r="W194" s="14">
        <v>0</v>
      </c>
      <c r="X194" s="120">
        <v>0</v>
      </c>
      <c r="Y194" s="236">
        <f t="shared" si="46"/>
        <v>0</v>
      </c>
      <c r="Z194" s="237"/>
      <c r="AA194" s="13" t="s">
        <v>201</v>
      </c>
      <c r="AB194" s="178"/>
      <c r="AC194" s="179"/>
      <c r="AD194" s="16">
        <f t="shared" si="49"/>
        <v>0</v>
      </c>
      <c r="AE194" s="100"/>
      <c r="AF194" s="99"/>
      <c r="AG194" s="99"/>
      <c r="AH194" s="99"/>
      <c r="AI194" s="99"/>
      <c r="AJ194" s="99"/>
      <c r="AK194" s="8"/>
      <c r="AL194" s="8"/>
    </row>
    <row r="195" spans="2:40" s="12" customFormat="1" ht="123.75" customHeight="1" x14ac:dyDescent="2.35">
      <c r="B195" s="13" t="s">
        <v>202</v>
      </c>
      <c r="C195" s="19">
        <v>0</v>
      </c>
      <c r="D195" s="20"/>
      <c r="E195" s="19">
        <v>0</v>
      </c>
      <c r="F195" s="20"/>
      <c r="G195" s="19">
        <v>0</v>
      </c>
      <c r="H195" s="20"/>
      <c r="I195" s="19">
        <v>0</v>
      </c>
      <c r="J195" s="20"/>
      <c r="K195" s="19">
        <v>0</v>
      </c>
      <c r="L195" s="20"/>
      <c r="M195" s="19">
        <v>0</v>
      </c>
      <c r="N195" s="20"/>
      <c r="O195" s="19">
        <v>0</v>
      </c>
      <c r="P195" s="20"/>
      <c r="Q195" s="19">
        <v>0</v>
      </c>
      <c r="R195" s="20"/>
      <c r="S195" s="19">
        <v>0</v>
      </c>
      <c r="T195" s="20"/>
      <c r="U195" s="19">
        <v>0</v>
      </c>
      <c r="V195" s="20"/>
      <c r="W195" s="14">
        <v>0</v>
      </c>
      <c r="X195" s="120">
        <v>0</v>
      </c>
      <c r="Y195" s="236">
        <f t="shared" si="46"/>
        <v>0</v>
      </c>
      <c r="Z195" s="237"/>
      <c r="AA195" s="13" t="s">
        <v>202</v>
      </c>
      <c r="AB195" s="178"/>
      <c r="AC195" s="179"/>
      <c r="AD195" s="16">
        <f t="shared" si="49"/>
        <v>0</v>
      </c>
      <c r="AE195" s="100"/>
      <c r="AF195" s="99"/>
      <c r="AG195" s="99"/>
      <c r="AH195" s="99"/>
      <c r="AI195" s="99"/>
      <c r="AJ195" s="99"/>
      <c r="AK195" s="8"/>
      <c r="AL195" s="8"/>
    </row>
    <row r="196" spans="2:40" ht="123.75" customHeight="1" x14ac:dyDescent="2.35">
      <c r="B196" s="79" t="s">
        <v>105</v>
      </c>
      <c r="C196" s="134" t="s">
        <v>1</v>
      </c>
      <c r="D196" s="135"/>
      <c r="E196" s="134" t="s">
        <v>2</v>
      </c>
      <c r="F196" s="135"/>
      <c r="G196" s="134" t="s">
        <v>3</v>
      </c>
      <c r="H196" s="135"/>
      <c r="I196" s="134" t="s">
        <v>4</v>
      </c>
      <c r="J196" s="135"/>
      <c r="K196" s="134" t="s">
        <v>5</v>
      </c>
      <c r="L196" s="135"/>
      <c r="M196" s="134" t="s">
        <v>6</v>
      </c>
      <c r="N196" s="135"/>
      <c r="O196" s="134" t="s">
        <v>7</v>
      </c>
      <c r="P196" s="135"/>
      <c r="Q196" s="134" t="s">
        <v>8</v>
      </c>
      <c r="R196" s="135"/>
      <c r="S196" s="134" t="s">
        <v>9</v>
      </c>
      <c r="T196" s="135"/>
      <c r="U196" s="134" t="s">
        <v>10</v>
      </c>
      <c r="V196" s="135"/>
      <c r="W196" s="9" t="s">
        <v>11</v>
      </c>
      <c r="X196" s="117"/>
      <c r="Y196" s="238" t="s">
        <v>12</v>
      </c>
      <c r="Z196" s="239"/>
      <c r="AA196" s="79" t="s">
        <v>105</v>
      </c>
      <c r="AB196" s="140"/>
      <c r="AC196" s="141"/>
      <c r="AD196" s="6" t="s">
        <v>15</v>
      </c>
      <c r="AE196" s="7"/>
      <c r="AK196" s="8"/>
      <c r="AL196" s="8"/>
    </row>
    <row r="197" spans="2:40" ht="123.75" customHeight="1" x14ac:dyDescent="2.35">
      <c r="B197" s="15" t="s">
        <v>203</v>
      </c>
      <c r="C197" s="236">
        <v>0</v>
      </c>
      <c r="D197" s="237"/>
      <c r="E197" s="236">
        <v>0</v>
      </c>
      <c r="F197" s="237"/>
      <c r="G197" s="236">
        <v>0</v>
      </c>
      <c r="H197" s="237"/>
      <c r="I197" s="236">
        <v>0</v>
      </c>
      <c r="J197" s="237"/>
      <c r="K197" s="236">
        <v>0</v>
      </c>
      <c r="L197" s="237"/>
      <c r="M197" s="236">
        <v>0</v>
      </c>
      <c r="N197" s="237"/>
      <c r="O197" s="236">
        <v>0</v>
      </c>
      <c r="P197" s="237"/>
      <c r="Q197" s="236">
        <v>0</v>
      </c>
      <c r="R197" s="237"/>
      <c r="S197" s="236">
        <v>0</v>
      </c>
      <c r="T197" s="237"/>
      <c r="U197" s="236">
        <v>0</v>
      </c>
      <c r="V197" s="237"/>
      <c r="W197" s="14">
        <v>0</v>
      </c>
      <c r="X197" s="120"/>
      <c r="Y197" s="236">
        <f>SUM(C197:W197)</f>
        <v>0</v>
      </c>
      <c r="Z197" s="237"/>
      <c r="AA197" s="15" t="s">
        <v>203</v>
      </c>
      <c r="AB197" s="220"/>
      <c r="AC197" s="221"/>
      <c r="AD197" s="16">
        <f>X197</f>
        <v>0</v>
      </c>
      <c r="AE197" s="7"/>
      <c r="AK197" s="8"/>
      <c r="AL197" s="8"/>
    </row>
    <row r="198" spans="2:40" s="2" customFormat="1" ht="123.75" customHeight="1" x14ac:dyDescent="2.35">
      <c r="B198" s="79" t="s">
        <v>204</v>
      </c>
      <c r="C198" s="134" t="s">
        <v>1</v>
      </c>
      <c r="D198" s="135"/>
      <c r="E198" s="134" t="s">
        <v>2</v>
      </c>
      <c r="F198" s="135"/>
      <c r="G198" s="134" t="s">
        <v>3</v>
      </c>
      <c r="H198" s="135"/>
      <c r="I198" s="134" t="s">
        <v>4</v>
      </c>
      <c r="J198" s="135"/>
      <c r="K198" s="134" t="s">
        <v>5</v>
      </c>
      <c r="L198" s="135"/>
      <c r="M198" s="134" t="s">
        <v>6</v>
      </c>
      <c r="N198" s="135"/>
      <c r="O198" s="134" t="s">
        <v>7</v>
      </c>
      <c r="P198" s="135"/>
      <c r="Q198" s="134" t="s">
        <v>8</v>
      </c>
      <c r="R198" s="135"/>
      <c r="S198" s="134" t="s">
        <v>9</v>
      </c>
      <c r="T198" s="135"/>
      <c r="U198" s="134" t="s">
        <v>10</v>
      </c>
      <c r="V198" s="135"/>
      <c r="W198" s="9" t="s">
        <v>11</v>
      </c>
      <c r="X198" s="117"/>
      <c r="Y198" s="238" t="s">
        <v>12</v>
      </c>
      <c r="Z198" s="239"/>
      <c r="AA198" s="79" t="s">
        <v>204</v>
      </c>
      <c r="AB198" s="140"/>
      <c r="AC198" s="141"/>
      <c r="AD198" s="6" t="s">
        <v>15</v>
      </c>
      <c r="AE198" s="7"/>
      <c r="AF198" s="99"/>
      <c r="AG198" s="99"/>
      <c r="AH198" s="99"/>
      <c r="AI198" s="99"/>
      <c r="AJ198" s="99"/>
      <c r="AK198" s="8"/>
      <c r="AL198" s="8"/>
      <c r="AM198" s="12"/>
      <c r="AN198" s="12"/>
    </row>
    <row r="199" spans="2:40" ht="123.75" customHeight="1" x14ac:dyDescent="2.35">
      <c r="B199" s="13" t="s">
        <v>205</v>
      </c>
      <c r="C199" s="19">
        <v>0</v>
      </c>
      <c r="D199" s="20"/>
      <c r="E199" s="19">
        <v>0</v>
      </c>
      <c r="F199" s="20"/>
      <c r="G199" s="19">
        <v>0</v>
      </c>
      <c r="H199" s="20"/>
      <c r="I199" s="19">
        <v>0</v>
      </c>
      <c r="J199" s="20"/>
      <c r="K199" s="19">
        <v>0</v>
      </c>
      <c r="L199" s="20"/>
      <c r="M199" s="19">
        <v>0</v>
      </c>
      <c r="N199" s="20"/>
      <c r="O199" s="19">
        <v>0</v>
      </c>
      <c r="P199" s="20"/>
      <c r="Q199" s="19">
        <v>0</v>
      </c>
      <c r="R199" s="20"/>
      <c r="S199" s="19">
        <v>0</v>
      </c>
      <c r="T199" s="20"/>
      <c r="U199" s="19">
        <v>0</v>
      </c>
      <c r="V199" s="20"/>
      <c r="W199" s="14">
        <v>0</v>
      </c>
      <c r="X199" s="122">
        <v>0</v>
      </c>
      <c r="Y199" s="236">
        <f>SUM(C199:W199)</f>
        <v>0</v>
      </c>
      <c r="Z199" s="237"/>
      <c r="AA199" s="68" t="s">
        <v>205</v>
      </c>
      <c r="AB199" s="199"/>
      <c r="AC199" s="200"/>
      <c r="AD199" s="16">
        <f>X199</f>
        <v>0</v>
      </c>
      <c r="AE199" s="17"/>
      <c r="AM199" s="2"/>
      <c r="AN199" s="2"/>
    </row>
    <row r="200" spans="2:40" s="2" customFormat="1" ht="165" customHeight="1" x14ac:dyDescent="2.35">
      <c r="B200" s="241" t="s">
        <v>206</v>
      </c>
      <c r="C200" s="134" t="s">
        <v>1</v>
      </c>
      <c r="D200" s="135"/>
      <c r="E200" s="134" t="s">
        <v>2</v>
      </c>
      <c r="F200" s="135"/>
      <c r="G200" s="134" t="s">
        <v>3</v>
      </c>
      <c r="H200" s="135"/>
      <c r="I200" s="134" t="s">
        <v>4</v>
      </c>
      <c r="J200" s="135"/>
      <c r="K200" s="134" t="s">
        <v>5</v>
      </c>
      <c r="L200" s="135"/>
      <c r="M200" s="134" t="s">
        <v>6</v>
      </c>
      <c r="N200" s="135"/>
      <c r="O200" s="134" t="s">
        <v>7</v>
      </c>
      <c r="P200" s="135"/>
      <c r="Q200" s="134" t="s">
        <v>8</v>
      </c>
      <c r="R200" s="135"/>
      <c r="S200" s="134" t="s">
        <v>9</v>
      </c>
      <c r="T200" s="135"/>
      <c r="U200" s="134" t="s">
        <v>10</v>
      </c>
      <c r="V200" s="135"/>
      <c r="W200" s="9" t="s">
        <v>11</v>
      </c>
      <c r="X200" s="117"/>
      <c r="Y200" s="249" t="s">
        <v>207</v>
      </c>
      <c r="Z200" s="250"/>
      <c r="AA200" s="251"/>
      <c r="AB200" s="101"/>
      <c r="AC200" s="101"/>
      <c r="AD200" s="102"/>
      <c r="AE200" s="17"/>
      <c r="AK200" s="3"/>
      <c r="AL200" s="3"/>
      <c r="AM200"/>
      <c r="AN200"/>
    </row>
    <row r="201" spans="2:40" s="105" customFormat="1" ht="255" x14ac:dyDescent="3.65">
      <c r="B201" s="242"/>
      <c r="C201" s="243"/>
      <c r="D201" s="243"/>
      <c r="E201" s="243"/>
      <c r="F201" s="243"/>
      <c r="G201" s="243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127"/>
      <c r="X201" s="123"/>
      <c r="Y201" s="244">
        <f>SUM(C201:W201)</f>
        <v>0</v>
      </c>
      <c r="Z201" s="245"/>
      <c r="AA201" s="246"/>
      <c r="AB201" s="103"/>
      <c r="AC201" s="103"/>
      <c r="AD201" s="104"/>
      <c r="AE201" s="102"/>
      <c r="AF201" s="2"/>
      <c r="AG201" s="2"/>
      <c r="AH201" s="2"/>
      <c r="AI201" s="2"/>
      <c r="AJ201" s="2"/>
      <c r="AK201" s="3"/>
      <c r="AL201" s="3"/>
      <c r="AM201" s="2"/>
      <c r="AN201" s="2"/>
    </row>
    <row r="203" spans="2:40" x14ac:dyDescent="2.35">
      <c r="C203" s="247"/>
      <c r="D203" s="247"/>
      <c r="O203" s="248"/>
      <c r="P203" s="248"/>
      <c r="R203" s="107"/>
      <c r="AA203" s="108"/>
    </row>
    <row r="204" spans="2:40" x14ac:dyDescent="2.35">
      <c r="AA204" s="108"/>
    </row>
  </sheetData>
  <mergeCells count="344">
    <mergeCell ref="Y201:AA201"/>
    <mergeCell ref="C203:D203"/>
    <mergeCell ref="O203:P203"/>
    <mergeCell ref="Y200:AA200"/>
    <mergeCell ref="C201:D201"/>
    <mergeCell ref="E201:F201"/>
    <mergeCell ref="G201:H201"/>
    <mergeCell ref="I201:J201"/>
    <mergeCell ref="K201:L201"/>
    <mergeCell ref="M201:N201"/>
    <mergeCell ref="O201:P201"/>
    <mergeCell ref="Q201:R201"/>
    <mergeCell ref="M200:N200"/>
    <mergeCell ref="O200:P200"/>
    <mergeCell ref="Q200:R200"/>
    <mergeCell ref="S200:T200"/>
    <mergeCell ref="U200:V200"/>
    <mergeCell ref="B200:B201"/>
    <mergeCell ref="C200:D200"/>
    <mergeCell ref="E200:F200"/>
    <mergeCell ref="G200:H200"/>
    <mergeCell ref="I200:J200"/>
    <mergeCell ref="K200:L200"/>
    <mergeCell ref="Q198:R198"/>
    <mergeCell ref="S198:T198"/>
    <mergeCell ref="U198:V198"/>
    <mergeCell ref="S201:T201"/>
    <mergeCell ref="U201:V201"/>
    <mergeCell ref="AB198:AC198"/>
    <mergeCell ref="Y199:Z199"/>
    <mergeCell ref="AB199:AC199"/>
    <mergeCell ref="Y197:Z197"/>
    <mergeCell ref="AB197:AC197"/>
    <mergeCell ref="C198:D198"/>
    <mergeCell ref="E198:F198"/>
    <mergeCell ref="G198:H198"/>
    <mergeCell ref="I198:J198"/>
    <mergeCell ref="K198:L198"/>
    <mergeCell ref="M198:N198"/>
    <mergeCell ref="O198:P198"/>
    <mergeCell ref="M197:N197"/>
    <mergeCell ref="O197:P197"/>
    <mergeCell ref="Q197:R197"/>
    <mergeCell ref="S197:T197"/>
    <mergeCell ref="U197:V197"/>
    <mergeCell ref="Y198:Z198"/>
    <mergeCell ref="C197:D197"/>
    <mergeCell ref="E197:F197"/>
    <mergeCell ref="G197:H197"/>
    <mergeCell ref="I197:J197"/>
    <mergeCell ref="K197:L197"/>
    <mergeCell ref="Y195:Z195"/>
    <mergeCell ref="AB195:AC195"/>
    <mergeCell ref="C196:D196"/>
    <mergeCell ref="E196:F196"/>
    <mergeCell ref="G196:H196"/>
    <mergeCell ref="I196:J196"/>
    <mergeCell ref="K196:L196"/>
    <mergeCell ref="M196:N196"/>
    <mergeCell ref="O196:P196"/>
    <mergeCell ref="S196:T196"/>
    <mergeCell ref="U196:V196"/>
    <mergeCell ref="Y196:Z196"/>
    <mergeCell ref="AB196:AC196"/>
    <mergeCell ref="Q196:R196"/>
    <mergeCell ref="Y191:Z191"/>
    <mergeCell ref="AB191:AC191"/>
    <mergeCell ref="Y192:Z192"/>
    <mergeCell ref="AB192:AC192"/>
    <mergeCell ref="Y194:Z194"/>
    <mergeCell ref="AB194:AC194"/>
    <mergeCell ref="Y186:Z186"/>
    <mergeCell ref="AB186:AC186"/>
    <mergeCell ref="Y187:Z187"/>
    <mergeCell ref="AB187:AC187"/>
    <mergeCell ref="Y190:Z190"/>
    <mergeCell ref="AB190:AC190"/>
    <mergeCell ref="Y188:Z188"/>
    <mergeCell ref="Y189:Z189"/>
    <mergeCell ref="Y193:Z193"/>
    <mergeCell ref="Y183:Z183"/>
    <mergeCell ref="AB183:AC183"/>
    <mergeCell ref="Y184:Z184"/>
    <mergeCell ref="AB184:AC184"/>
    <mergeCell ref="AG184:AI184"/>
    <mergeCell ref="Y185:Z185"/>
    <mergeCell ref="AB185:AC185"/>
    <mergeCell ref="Y180:Z180"/>
    <mergeCell ref="AB180:AC180"/>
    <mergeCell ref="Y181:Z181"/>
    <mergeCell ref="AB181:AC181"/>
    <mergeCell ref="Y182:Z182"/>
    <mergeCell ref="AB182:AC182"/>
    <mergeCell ref="Y175:Z175"/>
    <mergeCell ref="Y176:Z176"/>
    <mergeCell ref="Y177:Z177"/>
    <mergeCell ref="Y178:Z178"/>
    <mergeCell ref="AB178:AC178"/>
    <mergeCell ref="Y179:Z179"/>
    <mergeCell ref="AB179:AC179"/>
    <mergeCell ref="Y169:Z169"/>
    <mergeCell ref="AB169:AC169"/>
    <mergeCell ref="Y170:Z170"/>
    <mergeCell ref="AB170:AC177"/>
    <mergeCell ref="AF170:AJ173"/>
    <mergeCell ref="Y171:Z171"/>
    <mergeCell ref="Y172:Z172"/>
    <mergeCell ref="Y173:Z173"/>
    <mergeCell ref="Y174:Z174"/>
    <mergeCell ref="AF174:AJ174"/>
    <mergeCell ref="M169:N169"/>
    <mergeCell ref="O169:P169"/>
    <mergeCell ref="Q169:R169"/>
    <mergeCell ref="S169:T169"/>
    <mergeCell ref="U169:V169"/>
    <mergeCell ref="AB163:AC168"/>
    <mergeCell ref="C169:D169"/>
    <mergeCell ref="E169:F169"/>
    <mergeCell ref="G169:H169"/>
    <mergeCell ref="I169:J169"/>
    <mergeCell ref="K169:L169"/>
    <mergeCell ref="M161:N161"/>
    <mergeCell ref="O161:P161"/>
    <mergeCell ref="Q161:R161"/>
    <mergeCell ref="S161:T161"/>
    <mergeCell ref="U161:V161"/>
    <mergeCell ref="W161:W162"/>
    <mergeCell ref="C147:D147"/>
    <mergeCell ref="E147:F147"/>
    <mergeCell ref="G147:H147"/>
    <mergeCell ref="I147:J147"/>
    <mergeCell ref="K147:L147"/>
    <mergeCell ref="AB148:AC158"/>
    <mergeCell ref="AB159:AC159"/>
    <mergeCell ref="B160:AD160"/>
    <mergeCell ref="B161:B162"/>
    <mergeCell ref="C161:D161"/>
    <mergeCell ref="E161:F161"/>
    <mergeCell ref="G161:H161"/>
    <mergeCell ref="I161:J161"/>
    <mergeCell ref="K161:L161"/>
    <mergeCell ref="Y161:Y162"/>
    <mergeCell ref="Z161:Z162"/>
    <mergeCell ref="AA161:AA162"/>
    <mergeCell ref="AB161:AC161"/>
    <mergeCell ref="AB145:AC146"/>
    <mergeCell ref="AF141:AJ141"/>
    <mergeCell ref="AB143:AC143"/>
    <mergeCell ref="AF143:AJ143"/>
    <mergeCell ref="M147:N147"/>
    <mergeCell ref="O147:P147"/>
    <mergeCell ref="Q147:R147"/>
    <mergeCell ref="S147:T147"/>
    <mergeCell ref="U147:V147"/>
    <mergeCell ref="AB147:AC147"/>
    <mergeCell ref="C144:D144"/>
    <mergeCell ref="E144:F144"/>
    <mergeCell ref="G144:H144"/>
    <mergeCell ref="I144:J144"/>
    <mergeCell ref="K144:L144"/>
    <mergeCell ref="M144:N144"/>
    <mergeCell ref="AB110:AC114"/>
    <mergeCell ref="AF114:AJ114"/>
    <mergeCell ref="AB115:AC128"/>
    <mergeCell ref="AF115:AJ120"/>
    <mergeCell ref="O144:P144"/>
    <mergeCell ref="Q144:R144"/>
    <mergeCell ref="S144:T144"/>
    <mergeCell ref="U144:V144"/>
    <mergeCell ref="AB144:AC144"/>
    <mergeCell ref="AK116:AL143"/>
    <mergeCell ref="AF121:AJ121"/>
    <mergeCell ref="AF122:AJ122"/>
    <mergeCell ref="AB129:AC141"/>
    <mergeCell ref="AF129:AJ131"/>
    <mergeCell ref="AF133:AJ133"/>
    <mergeCell ref="U108:V108"/>
    <mergeCell ref="W108:W109"/>
    <mergeCell ref="Y108:Y109"/>
    <mergeCell ref="Z108:Z109"/>
    <mergeCell ref="AA108:AA109"/>
    <mergeCell ref="AB108:AC108"/>
    <mergeCell ref="K108:L108"/>
    <mergeCell ref="M108:N108"/>
    <mergeCell ref="O108:P108"/>
    <mergeCell ref="Q108:R108"/>
    <mergeCell ref="S108:T108"/>
    <mergeCell ref="AF101:AJ101"/>
    <mergeCell ref="AF103:AJ103"/>
    <mergeCell ref="AB106:AC106"/>
    <mergeCell ref="AF106:AJ110"/>
    <mergeCell ref="B107:AD107"/>
    <mergeCell ref="B108:B109"/>
    <mergeCell ref="C108:D108"/>
    <mergeCell ref="E108:F108"/>
    <mergeCell ref="G108:H108"/>
    <mergeCell ref="I108:J108"/>
    <mergeCell ref="U90:V90"/>
    <mergeCell ref="AB90:AC90"/>
    <mergeCell ref="AK90:AL115"/>
    <mergeCell ref="AB91:AC91"/>
    <mergeCell ref="AB93:AC93"/>
    <mergeCell ref="AB94:AC94"/>
    <mergeCell ref="AB95:AC95"/>
    <mergeCell ref="AB96:AC105"/>
    <mergeCell ref="AF96:AJ100"/>
    <mergeCell ref="C90:D90"/>
    <mergeCell ref="E90:F90"/>
    <mergeCell ref="G90:H90"/>
    <mergeCell ref="I90:J90"/>
    <mergeCell ref="K90:L90"/>
    <mergeCell ref="M90:N90"/>
    <mergeCell ref="O90:P90"/>
    <mergeCell ref="Q90:R90"/>
    <mergeCell ref="S90:T90"/>
    <mergeCell ref="AF81:AJ81"/>
    <mergeCell ref="AF82:AJ82"/>
    <mergeCell ref="AB83:AC84"/>
    <mergeCell ref="AF83:AJ83"/>
    <mergeCell ref="AK83:AL89"/>
    <mergeCell ref="AF84:AJ84"/>
    <mergeCell ref="AB85:AC85"/>
    <mergeCell ref="AB86:AC86"/>
    <mergeCell ref="AB87:AC87"/>
    <mergeCell ref="AB88:AC88"/>
    <mergeCell ref="AK74:AL81"/>
    <mergeCell ref="AF75:AJ75"/>
    <mergeCell ref="AB76:AC76"/>
    <mergeCell ref="AB77:AC78"/>
    <mergeCell ref="AF77:AJ77"/>
    <mergeCell ref="AF78:AJ78"/>
    <mergeCell ref="AB79:AC80"/>
    <mergeCell ref="AF79:AJ79"/>
    <mergeCell ref="AF80:AJ80"/>
    <mergeCell ref="AB81:AC82"/>
    <mergeCell ref="AB89:AC89"/>
    <mergeCell ref="Q73:R73"/>
    <mergeCell ref="S73:T73"/>
    <mergeCell ref="U73:V73"/>
    <mergeCell ref="AB73:AC73"/>
    <mergeCell ref="AB74:AC75"/>
    <mergeCell ref="AF74:AJ74"/>
    <mergeCell ref="AB71:AC71"/>
    <mergeCell ref="AB72:AC72"/>
    <mergeCell ref="C73:D73"/>
    <mergeCell ref="E73:F73"/>
    <mergeCell ref="G73:H73"/>
    <mergeCell ref="I73:J73"/>
    <mergeCell ref="K73:L73"/>
    <mergeCell ref="M73:N73"/>
    <mergeCell ref="O73:P73"/>
    <mergeCell ref="AB65:AC70"/>
    <mergeCell ref="AF66:AJ66"/>
    <mergeCell ref="AF67:AJ67"/>
    <mergeCell ref="M63:N63"/>
    <mergeCell ref="O63:P63"/>
    <mergeCell ref="Q63:R63"/>
    <mergeCell ref="S63:T63"/>
    <mergeCell ref="U63:V63"/>
    <mergeCell ref="W63:W64"/>
    <mergeCell ref="AB58:AC58"/>
    <mergeCell ref="AC60:AC61"/>
    <mergeCell ref="AB62:AC62"/>
    <mergeCell ref="B63:B64"/>
    <mergeCell ref="C63:D63"/>
    <mergeCell ref="E63:F63"/>
    <mergeCell ref="G63:H63"/>
    <mergeCell ref="I63:J63"/>
    <mergeCell ref="K63:L63"/>
    <mergeCell ref="Y63:Y64"/>
    <mergeCell ref="Z63:Z64"/>
    <mergeCell ref="AA63:AA64"/>
    <mergeCell ref="AB63:AC63"/>
    <mergeCell ref="AB48:AC52"/>
    <mergeCell ref="AB55:AC55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62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62" min="1" max="41" man="1"/>
    <brk id="106" min="1" max="40" man="1"/>
    <brk id="159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2026-10-09T14:01:53Z</dcterms:modified>
</cp:coreProperties>
</file>